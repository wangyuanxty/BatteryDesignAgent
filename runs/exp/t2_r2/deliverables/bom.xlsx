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5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42" customWidth="1" min="1" max="1"/>
    <col width="34" customWidth="1" min="2" max="2"/>
    <col width="42" customWidth="1" min="3" max="3"/>
    <col width="14" customWidth="1" min="4" max="4"/>
    <col width="12" customWidth="1" min="5" max="5"/>
    <col width="40" customWidth="1" min="6" max="6"/>
  </cols>
  <sheetData>
    <row r="1">
      <c r="A1" s="1" t="inlineStr">
        <is>
          <t>Component</t>
        </is>
      </c>
      <c r="B1" s="1" t="inlineStr">
        <is>
          <t>Formula (mass)</t>
        </is>
      </c>
      <c r="C1" s="1" t="inlineStr">
        <is>
          <t>Formula (values)</t>
        </is>
      </c>
      <c r="D1" s="1" t="inlineStr">
        <is>
          <t>g / cell</t>
        </is>
      </c>
      <c r="E1" s="1" t="inlineStr">
        <is>
          <t>kg / kWh</t>
        </is>
      </c>
      <c r="F1" s="1" t="inlineStr">
        <is>
          <t>Annotation</t>
        </is>
      </c>
    </row>
    <row r="2">
      <c r="A2" s="2" t="inlineStr">
        <is>
          <t>Positive electrode active material (NMC)</t>
        </is>
      </c>
      <c r="B2" s="2" t="inlineStr">
        <is>
          <t>coating t x area x AMVF x rho (eq. solids)</t>
        </is>
      </c>
      <c r="C2" s="2" t="inlineStr">
        <is>
          <t>110 x 0.1027 x 0.70 x 3262</t>
        </is>
      </c>
      <c r="D2" s="2" t="inlineStr">
        <is>
          <t>24.8927</t>
        </is>
      </c>
      <c r="E2" s="2" t="inlineStr">
        <is>
          <t>0.9819</t>
        </is>
      </c>
      <c r="F2" s="2" t="inlineStr"/>
    </row>
    <row r="3">
      <c r="A3" s="2" t="inlineStr">
        <is>
          <t>Positive electrode conductive additive</t>
        </is>
      </c>
      <c r="B3" s="2" t="inlineStr">
        <is>
          <t>literature default 1.5 wt% of coating solids</t>
        </is>
      </c>
      <c r="C3" s="2" t="inlineStr">
        <is>
          <t>25.7956 g x 1.5/100</t>
        </is>
      </c>
      <c r="D3" s="2" t="inlineStr">
        <is>
          <t>0.3869</t>
        </is>
      </c>
      <c r="E3" s="2" t="inlineStr">
        <is>
          <t>0.0153</t>
        </is>
      </c>
      <c r="F3" s="2" t="inlineStr">
        <is>
          <t>annotation: no CA parameter in set</t>
        </is>
      </c>
    </row>
    <row r="4">
      <c r="A4" s="2" t="inlineStr">
        <is>
          <t>Positive electrode binder</t>
        </is>
      </c>
      <c r="B4" s="2" t="inlineStr">
        <is>
          <t>literature default 2.0 wt% of coating solids</t>
        </is>
      </c>
      <c r="C4" s="2" t="inlineStr">
        <is>
          <t>25.7956 g x 2.0/100</t>
        </is>
      </c>
      <c r="D4" s="2" t="inlineStr">
        <is>
          <t>0.5159</t>
        </is>
      </c>
      <c r="E4" s="2" t="inlineStr">
        <is>
          <t>0.0204</t>
        </is>
      </c>
      <c r="F4" s="2" t="inlineStr">
        <is>
          <t>annotation: no binder parameter in set</t>
        </is>
      </c>
    </row>
    <row r="5">
      <c r="A5" s="2" t="inlineStr">
        <is>
          <t>Negative electrode active material (graphite)</t>
        </is>
      </c>
      <c r="B5" s="2" t="inlineStr">
        <is>
          <t>coating t x area x AMVF x rho (eq. solids)</t>
        </is>
      </c>
      <c r="C5" s="2" t="inlineStr">
        <is>
          <t>150 x 0.1027 x 0.58 x 1657</t>
        </is>
      </c>
      <c r="D5" s="2" t="inlineStr">
        <is>
          <t>14.2869</t>
        </is>
      </c>
      <c r="E5" s="2" t="inlineStr">
        <is>
          <t>0.5636</t>
        </is>
      </c>
      <c r="F5" s="2" t="inlineStr"/>
    </row>
    <row r="6">
      <c r="A6" s="2" t="inlineStr">
        <is>
          <t>Negative electrode conductive additive</t>
        </is>
      </c>
      <c r="B6" s="2" t="inlineStr">
        <is>
          <t>literature default 1.5 wt% of coating solids</t>
        </is>
      </c>
      <c r="C6" s="2" t="inlineStr">
        <is>
          <t>14.8051 g x 1.5/100</t>
        </is>
      </c>
      <c r="D6" s="2" t="inlineStr">
        <is>
          <t>0.2221</t>
        </is>
      </c>
      <c r="E6" s="2" t="inlineStr">
        <is>
          <t>0.0088</t>
        </is>
      </c>
      <c r="F6" s="2" t="inlineStr">
        <is>
          <t>annotation: no CA parameter in set</t>
        </is>
      </c>
    </row>
    <row r="7">
      <c r="A7" s="2" t="inlineStr">
        <is>
          <t>Negative electrode binder</t>
        </is>
      </c>
      <c r="B7" s="2" t="inlineStr">
        <is>
          <t>literature default 2.0 wt% of coating solids</t>
        </is>
      </c>
      <c r="C7" s="2" t="inlineStr">
        <is>
          <t>14.8051 g x 2.0/100</t>
        </is>
      </c>
      <c r="D7" s="2" t="inlineStr">
        <is>
          <t>0.2961</t>
        </is>
      </c>
      <c r="E7" s="2" t="inlineStr">
        <is>
          <t>0.0117</t>
        </is>
      </c>
      <c r="F7" s="2" t="inlineStr">
        <is>
          <t>annotation: no binder parameter in set</t>
        </is>
      </c>
    </row>
    <row r="8">
      <c r="A8" s="2" t="inlineStr">
        <is>
          <t>Separator</t>
        </is>
      </c>
      <c r="B8" s="2" t="inlineStr">
        <is>
          <t>calc layer_kg_m2 x area</t>
        </is>
      </c>
      <c r="C8" s="2" t="inlineStr">
        <is>
          <t>0.001787 kg/m2 x 0.1027 m2</t>
        </is>
      </c>
      <c r="D8" s="2" t="inlineStr">
        <is>
          <t>0.1835</t>
        </is>
      </c>
      <c r="E8" s="2" t="inlineStr">
        <is>
          <t>0.0072</t>
        </is>
      </c>
      <c r="F8" s="2" t="inlineStr"/>
    </row>
    <row r="9">
      <c r="A9" s="2" t="inlineStr">
        <is>
          <t>Electrolyte</t>
        </is>
      </c>
      <c r="B9" s="2" t="inlineStr">
        <is>
          <t>pore volume x electrolyte density</t>
        </is>
      </c>
      <c r="C9" s="2" t="inlineStr">
        <is>
          <t>10.42 cm3 x 1.2 g/cm3 x 1.0 fill</t>
        </is>
      </c>
      <c r="D9" s="2" t="inlineStr">
        <is>
          <t>12.5089</t>
        </is>
      </c>
      <c r="E9" s="2" t="inlineStr">
        <is>
          <t>0.4934</t>
        </is>
      </c>
      <c r="F9" s="2" t="inlineStr">
        <is>
          <t>annotation: electrolyte density = literature 1.2 g/cm3; fill factor 1.0</t>
        </is>
      </c>
    </row>
    <row r="10">
      <c r="A10" s="2" t="inlineStr">
        <is>
          <t>Positive current collector (Al)</t>
        </is>
      </c>
      <c r="B10" s="2" t="inlineStr">
        <is>
          <t>calc layer_kg_m2 x area</t>
        </is>
      </c>
      <c r="C10" s="2" t="inlineStr">
        <is>
          <t>0.021600 kg/m2 x 0.1027 m2 (8 um Al)</t>
        </is>
      </c>
      <c r="D10" s="2" t="inlineStr">
        <is>
          <t>2.2183</t>
        </is>
      </c>
      <c r="E10" s="2" t="inlineStr">
        <is>
          <t>0.0875</t>
        </is>
      </c>
      <c r="F10" s="2" t="inlineStr"/>
    </row>
    <row r="11">
      <c r="A11" s="2" t="inlineStr">
        <is>
          <t>Negative current collector (Cu)</t>
        </is>
      </c>
      <c r="B11" s="2" t="inlineStr">
        <is>
          <t>calc layer_kg_m2 x area</t>
        </is>
      </c>
      <c r="C11" s="2" t="inlineStr">
        <is>
          <t>0.053760 kg/m2 x 0.1027 m2 (6 um Cu)</t>
        </is>
      </c>
      <c r="D11" s="2" t="inlineStr">
        <is>
          <t>5.5212</t>
        </is>
      </c>
      <c r="E11" s="2" t="inlineStr">
        <is>
          <t>0.2178</t>
        </is>
      </c>
      <c r="F11" s="2" t="inlineStr"/>
    </row>
    <row r="12">
      <c r="A12" s="2" t="inlineStr">
        <is>
          <t>Enclosure (can/pouch)</t>
        </is>
      </c>
      <c r="B12" s="2" t="inlineStr">
        <is>
          <t>Not modeled</t>
        </is>
      </c>
      <c r="C12" s="2" t="inlineStr">
        <is>
          <t>-</t>
        </is>
      </c>
      <c r="D12" s="2" t="inlineStr">
        <is>
          <t>-</t>
        </is>
      </c>
      <c r="E12" s="2" t="inlineStr">
        <is>
          <t>-</t>
        </is>
      </c>
      <c r="F12" s="2" t="inlineStr">
        <is>
          <t>N-A (no parameter)</t>
        </is>
      </c>
    </row>
    <row r="13">
      <c r="A13" s="2" t="inlineStr">
        <is>
          <t>Tabs / terminals</t>
        </is>
      </c>
      <c r="B13" s="2" t="inlineStr">
        <is>
          <t>Not modeled</t>
        </is>
      </c>
      <c r="C13" s="2" t="inlineStr">
        <is>
          <t>-</t>
        </is>
      </c>
      <c r="D13" s="2" t="inlineStr">
        <is>
          <t>-</t>
        </is>
      </c>
      <c r="E13" s="2" t="inlineStr">
        <is>
          <t>-</t>
        </is>
      </c>
      <c r="F13" s="2" t="inlineStr">
        <is>
          <t>N-A (no parameter)</t>
        </is>
      </c>
    </row>
    <row r="14">
      <c r="A14" s="2" t="inlineStr">
        <is>
          <t>SUMMARY - total mass (contract caliber)</t>
        </is>
      </c>
      <c r="B14" s="2" t="inlineStr"/>
      <c r="C14" s="2" t="inlineStr"/>
      <c r="D14" s="2" t="inlineStr">
        <is>
          <t>48.5236</t>
        </is>
      </c>
      <c r="E14" s="2" t="inlineStr">
        <is>
          <t>1.9141</t>
        </is>
      </c>
      <c r="F14" s="2">
        <f> calc mass_kg; electrolyte excluded per final_calc note</f>
        <v/>
      </c>
    </row>
    <row r="15">
      <c r="A15" s="2" t="inlineStr">
        <is>
          <t>SUMMARY - total mass incl. electrolyte</t>
        </is>
      </c>
      <c r="B15" s="2" t="inlineStr"/>
      <c r="C15" s="2" t="inlineStr"/>
      <c r="D15" s="2" t="inlineStr">
        <is>
          <t>61.0325</t>
        </is>
      </c>
      <c r="E15" s="2" t="inlineStr">
        <is>
          <t>2.4075</t>
        </is>
      </c>
      <c r="F15" s="2" t="inlineStr">
        <is>
          <t>annotation-caliber extension (electrolyte density 1.2 g/cm3 lit.)</t>
        </is>
      </c>
    </row>
    <row r="16">
      <c r="A16" s="2" t="inlineStr">
        <is>
          <t>SUMMARY - total energy</t>
        </is>
      </c>
      <c r="B16" s="2" t="inlineStr"/>
      <c r="C16" s="2" t="inlineStr"/>
      <c r="D16" s="2" t="inlineStr">
        <is>
          <t>25.3513 Wh</t>
        </is>
      </c>
      <c r="E16" s="2" t="inlineStr"/>
      <c r="F16" s="2" t="inlineStr">
        <is>
          <t>final_calc.json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2026-08-26T13:14:45Z</dcterms:created>
  <dcterms:modified xmlns:dcterms="http://purl.org/dc/terms/" xmlns:xsi="http://www.w3.org/2001/XMLSchema-instance" xsi:type="dcterms:W3CDTF">2026-08-26T13:14:45Z</dcterms:modified>
</cp:coreProperties>
</file>