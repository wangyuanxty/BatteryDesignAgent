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4283C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62" customWidth="1" min="4" max="4"/>
  </cols>
  <sheetData>
    <row r="1">
      <c r="A1" s="1" t="inlineStr">
        <is>
          <t>Bill of Materials — T4R1FLASH (area 1027.00 cm2/cell)</t>
        </is>
      </c>
      <c r="B1" t="inlineStr">
        <is>
          <t>Mass (g/cell)</t>
        </is>
      </c>
      <c r="C1" t="inlineStr">
        <is>
          <t>kg/kWh</t>
        </is>
      </c>
      <c r="D1" t="inlineStr">
        <is>
          <t>Caliber / source</t>
        </is>
      </c>
    </row>
    <row r="2">
      <c r="A2" s="2" t="inlineStr">
        <is>
          <t>Positive electrode active material (NMC811)</t>
        </is>
      </c>
      <c r="B2" s="2" t="n">
        <v>12.565</v>
      </c>
      <c r="C2" s="2" t="n">
        <v>0.8951</v>
      </c>
      <c r="D2" s="2" t="inlineStr">
        <is>
          <t>94 wt% of coating (lit. default, annotated)</t>
        </is>
      </c>
    </row>
    <row r="3">
      <c r="A3" t="inlineStr">
        <is>
          <t>Positive electrode conductive additive (C-black)</t>
        </is>
      </c>
      <c r="B3" t="n">
        <v>0.401</v>
      </c>
      <c r="C3" t="n">
        <v>0.0286</v>
      </c>
      <c r="D3" t="inlineStr">
        <is>
          <t>3 wt% of coating (lit. default, annotated)</t>
        </is>
      </c>
    </row>
    <row r="4">
      <c r="A4" t="inlineStr">
        <is>
          <t>Positive electrode binder (PVDF)</t>
        </is>
      </c>
      <c r="B4" t="n">
        <v>0.401</v>
      </c>
      <c r="C4" t="n">
        <v>0.0286</v>
      </c>
      <c r="D4" t="inlineStr">
        <is>
          <t>3 wt% of coating (lit. default, annotated)</t>
        </is>
      </c>
    </row>
    <row r="5">
      <c r="A5" t="inlineStr">
        <is>
          <t>Negative electrode active material (graphite)</t>
        </is>
      </c>
      <c r="B5" t="n">
        <v>8.332000000000001</v>
      </c>
      <c r="C5" t="n">
        <v>0.5935</v>
      </c>
      <c r="D5" t="inlineStr">
        <is>
          <t>96 wt% of coating (lit. default, annotated)</t>
        </is>
      </c>
    </row>
    <row r="6">
      <c r="A6" t="inlineStr">
        <is>
          <t>Negative electrode conductive additive (C-black)</t>
        </is>
      </c>
      <c r="B6" t="n">
        <v>0.08699999999999999</v>
      </c>
      <c r="C6" t="n">
        <v>0.0062</v>
      </c>
      <c r="D6" t="inlineStr">
        <is>
          <t>1 wt% of coating (lit. default, annotated)</t>
        </is>
      </c>
    </row>
    <row r="7">
      <c r="A7" t="inlineStr">
        <is>
          <t>Negative electrode binder (CMC/SBR)</t>
        </is>
      </c>
      <c r="B7" t="n">
        <v>0.26</v>
      </c>
      <c r="C7" t="n">
        <v>0.0185</v>
      </c>
      <c r="D7" t="inlineStr">
        <is>
          <t>3 wt% of coating (lit. default, annotated)</t>
        </is>
      </c>
    </row>
    <row r="8">
      <c r="A8" t="inlineStr">
        <is>
          <t>Separator (PE/PP, porous)</t>
        </is>
      </c>
      <c r="B8" t="n">
        <v>0.173</v>
      </c>
      <c r="C8" t="n">
        <v>0.0123</v>
      </c>
      <c r="D8" t="inlineStr">
        <is>
          <t>parameter set: sep thickness x (1-porosity) x density x area</t>
        </is>
      </c>
    </row>
    <row r="9">
      <c r="A9" t="inlineStr">
        <is>
          <t>Electrolyte (EC/EMC + LiPF6, enhanced transport)</t>
        </is>
      </c>
      <c r="B9" t="n">
        <v>5.036</v>
      </c>
      <c r="C9" t="n">
        <v>0.3587</v>
      </c>
      <c r="D9" t="inlineStr">
        <is>
          <t>pore volume x 1.2 g/cm3 (lit.) x fill 1.0; EXCLUDED from contract ED caliber</t>
        </is>
      </c>
    </row>
    <row r="10">
      <c r="A10" t="inlineStr">
        <is>
          <t>Positive current collector (Al)</t>
        </is>
      </c>
      <c r="B10" t="n">
        <v>2.773</v>
      </c>
      <c r="C10" t="n">
        <v>0.1975</v>
      </c>
      <c r="D10" t="inlineStr">
        <is>
          <t>parameter set formula</t>
        </is>
      </c>
    </row>
    <row r="11">
      <c r="A11" t="inlineStr">
        <is>
          <t>Negative current collector (Cu)</t>
        </is>
      </c>
      <c r="B11" t="n">
        <v>5.521</v>
      </c>
      <c r="C11" t="n">
        <v>0.3933</v>
      </c>
      <c r="D11" t="inlineStr">
        <is>
          <t>parameter set formula</t>
        </is>
      </c>
    </row>
    <row r="12">
      <c r="A12" t="inlineStr">
        <is>
          <t>TOTAL (model caliber, excl. electrolyte)</t>
        </is>
      </c>
      <c r="B12" t="n">
        <v>30.513</v>
      </c>
      <c r="C12" t="n">
        <v>2.1736</v>
      </c>
      <c r="D12">
        <f> calc-energy mass_kg (cell/final_b7_energy_dfn.json)</f>
        <v/>
      </c>
    </row>
    <row r="13">
      <c r="A13" t="inlineStr">
        <is>
          <t>TOTAL incl. electrolyte (formula caliber)</t>
        </is>
      </c>
      <c r="B13" t="n">
        <v>35.548</v>
      </c>
      <c r="C13" t="n">
        <v>2.5323</v>
      </c>
      <c r="D13" t="inlineStr">
        <is>
          <t>pore volume x 1.2 g/cm3 (lit.) x fill 1.0</t>
        </is>
      </c>
    </row>
    <row r="14">
      <c r="A14" t="inlineStr">
        <is>
          <t>Cell energy</t>
        </is>
      </c>
      <c r="B14" t="n">
        <v>14.0377</v>
      </c>
      <c r="C14" t="inlineStr"/>
      <c r="D14" t="inlineStr">
        <is>
          <t>∫V·I dt over 1C discharge (cell/final_b7_energy_dfn.json)</t>
        </is>
      </c>
    </row>
    <row r="15">
      <c r="A15" t="inlineStr">
        <is>
          <t>Enclosure / tabs</t>
        </is>
      </c>
      <c r="B15" t="inlineStr">
        <is>
          <t>Not modeled</t>
        </is>
      </c>
      <c r="C15" t="inlineStr"/>
      <c r="D15" t="inlineStr">
        <is>
          <t>no parameter in 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2026-08-25T05:02:28Z</dcterms:created>
  <dcterms:modified xmlns:dcterms="http://purl.org/dc/terms/" xmlns:xsi="http://www.w3.org/2001/XMLSchema-instance" xsi:type="dcterms:W3CDTF">2026-08-25T05:02:28Z</dcterms:modified>
</cp:coreProperties>
</file>