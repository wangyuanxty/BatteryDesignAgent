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Energy" sheetId="2" state="visible" r:id="rId2"/>
    <sheet xmlns:r="http://schemas.openxmlformats.org/officeDocument/2006/relationships" name="EnergyDensity" sheetId="3" state="visible" r:id="rId3"/>
    <sheet xmlns:r="http://schemas.openxmlformats.org/officeDocument/2006/relationships" name="NPandMass" sheetId="4" state="visible" r:id="rId4"/>
    <sheet xmlns:r="http://schemas.openxmlformats.org/officeDocument/2006/relationships"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46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Positive electrode thickness</t>
        </is>
      </c>
      <c r="B2" t="n">
        <v>7.559999999999999e-05</v>
      </c>
      <c r="C2" t="inlineStr">
        <is>
          <t>m</t>
        </is>
      </c>
      <c r="D2" t="inlineStr">
        <is>
          <t>Chen2020 default (dump_params.py)</t>
        </is>
      </c>
    </row>
    <row r="3">
      <c r="A3" t="inlineStr">
        <is>
          <t>Positive electrode porosity</t>
        </is>
      </c>
      <c r="B3" t="n">
        <v>0.335</v>
      </c>
      <c r="C3" t="inlineStr">
        <is>
          <t>-</t>
        </is>
      </c>
      <c r="D3" t="inlineStr">
        <is>
          <t>Chen2020 default</t>
        </is>
      </c>
    </row>
    <row r="4">
      <c r="A4" t="inlineStr">
        <is>
          <t>Positive AMVF</t>
        </is>
      </c>
      <c r="B4" t="n">
        <v>0.665</v>
      </c>
      <c r="C4" t="inlineStr">
        <is>
          <t>-</t>
        </is>
      </c>
      <c r="D4" t="inlineStr">
        <is>
          <t>Chen2020 default</t>
        </is>
      </c>
    </row>
    <row r="5">
      <c r="A5" t="inlineStr">
        <is>
          <t>Positive electrode density</t>
        </is>
      </c>
      <c r="B5" t="n">
        <v>3262</v>
      </c>
      <c r="C5" t="inlineStr">
        <is>
          <t>kg/m3</t>
        </is>
      </c>
      <c r="D5" t="inlineStr">
        <is>
          <t>Chen2020 default</t>
        </is>
      </c>
    </row>
    <row r="6">
      <c r="A6" t="inlineStr">
        <is>
          <t>Positive particle radius</t>
        </is>
      </c>
      <c r="B6" t="n">
        <v>5.22e-06</v>
      </c>
      <c r="C6" t="inlineStr">
        <is>
          <t>m</t>
        </is>
      </c>
      <c r="D6" t="inlineStr">
        <is>
          <t>Chen2020 default</t>
        </is>
      </c>
    </row>
    <row r="7">
      <c r="A7" t="inlineStr">
        <is>
          <t>Negative electrode thickness</t>
        </is>
      </c>
      <c r="B7" t="n">
        <v>0.00012</v>
      </c>
      <c r="C7" t="inlineStr">
        <is>
          <t>m</t>
        </is>
      </c>
      <c r="D7" t="inlineStr">
        <is>
          <t>params_r3_I.json override</t>
        </is>
      </c>
    </row>
    <row r="8">
      <c r="A8" t="inlineStr">
        <is>
          <t>Negative electrode porosity</t>
        </is>
      </c>
      <c r="B8" t="n">
        <v>0.4</v>
      </c>
      <c r="C8" t="inlineStr">
        <is>
          <t>-</t>
        </is>
      </c>
      <c r="D8" t="inlineStr">
        <is>
          <t>params_r3_I.json override</t>
        </is>
      </c>
    </row>
    <row r="9">
      <c r="A9" t="inlineStr">
        <is>
          <t>Negative AMVF</t>
        </is>
      </c>
      <c r="B9" t="n">
        <v>0.6</v>
      </c>
      <c r="C9" t="inlineStr">
        <is>
          <t>-</t>
        </is>
      </c>
      <c r="D9" t="inlineStr">
        <is>
          <t>params_r3_I.json override</t>
        </is>
      </c>
    </row>
    <row r="10">
      <c r="A10" t="inlineStr">
        <is>
          <t>Negative electrode density</t>
        </is>
      </c>
      <c r="B10" t="n">
        <v>1657</v>
      </c>
      <c r="C10" t="inlineStr">
        <is>
          <t>kg/m3</t>
        </is>
      </c>
      <c r="D10" t="inlineStr">
        <is>
          <t>Chen2020 default</t>
        </is>
      </c>
    </row>
    <row r="11">
      <c r="A11" t="inlineStr">
        <is>
          <t>Negative particle radius</t>
        </is>
      </c>
      <c r="B11" t="n">
        <v>2.5e-06</v>
      </c>
      <c r="C11" t="inlineStr">
        <is>
          <t>m</t>
        </is>
      </c>
      <c r="D11" t="inlineStr">
        <is>
          <t>params_r3_I.json override</t>
        </is>
      </c>
    </row>
    <row r="12">
      <c r="A12" t="inlineStr">
        <is>
          <t>Separator thickness</t>
        </is>
      </c>
      <c r="B12" t="n">
        <v>6e-06</v>
      </c>
      <c r="C12" t="inlineStr">
        <is>
          <t>m</t>
        </is>
      </c>
      <c r="D12" t="inlineStr">
        <is>
          <t>params_r3_I.json override</t>
        </is>
      </c>
    </row>
    <row r="13">
      <c r="A13" t="inlineStr">
        <is>
          <t>Separator porosity</t>
        </is>
      </c>
      <c r="B13" t="n">
        <v>0.47</v>
      </c>
      <c r="C13" t="inlineStr">
        <is>
          <t>-</t>
        </is>
      </c>
      <c r="D13" t="inlineStr">
        <is>
          <t>Chen2020 default</t>
        </is>
      </c>
    </row>
    <row r="14">
      <c r="A14" t="inlineStr">
        <is>
          <t>Separator density</t>
        </is>
      </c>
      <c r="B14" t="n">
        <v>397</v>
      </c>
      <c r="C14" t="inlineStr">
        <is>
          <t>kg/m3</t>
        </is>
      </c>
      <c r="D14" t="inlineStr">
        <is>
          <t>Chen2020 default</t>
        </is>
      </c>
    </row>
    <row r="15">
      <c r="A15" t="inlineStr">
        <is>
          <t>Al current collector thickness</t>
        </is>
      </c>
      <c r="B15" t="n">
        <v>8e-06</v>
      </c>
      <c r="C15" t="inlineStr">
        <is>
          <t>m</t>
        </is>
      </c>
      <c r="D15" t="inlineStr">
        <is>
          <t>params_r3_I.json override</t>
        </is>
      </c>
    </row>
    <row r="16">
      <c r="A16" t="inlineStr">
        <is>
          <t>Cu current collector thickness</t>
        </is>
      </c>
      <c r="B16" t="n">
        <v>5e-06</v>
      </c>
      <c r="C16" t="inlineStr">
        <is>
          <t>m</t>
        </is>
      </c>
      <c r="D16" t="inlineStr">
        <is>
          <t>params_r3_I.json override</t>
        </is>
      </c>
    </row>
    <row r="17">
      <c r="A17" t="inlineStr">
        <is>
          <t>Electrolyte conductivity</t>
        </is>
      </c>
      <c r="B17" t="n">
        <v>1.8</v>
      </c>
      <c r="C17" t="inlineStr">
        <is>
          <t>S/m</t>
        </is>
      </c>
      <c r="D17" t="inlineStr">
        <is>
          <t>params_r3_I.json override (formulation estimate)</t>
        </is>
      </c>
    </row>
    <row r="18">
      <c r="A18" t="inlineStr">
        <is>
          <t>Cation transference number</t>
        </is>
      </c>
      <c r="B18" t="n">
        <v>0.55</v>
      </c>
      <c r="C18" t="inlineStr">
        <is>
          <t>-</t>
        </is>
      </c>
      <c r="D18" t="inlineStr">
        <is>
          <t>params_r3_I.json override (formulation estimate)</t>
        </is>
      </c>
    </row>
    <row r="19">
      <c r="A19" t="inlineStr">
        <is>
          <t>Total heat transfer coefficient</t>
        </is>
      </c>
      <c r="B19" t="n">
        <v>100</v>
      </c>
      <c r="C19" t="inlineStr">
        <is>
          <t>W/m2K</t>
        </is>
      </c>
      <c r="D19" t="inlineStr">
        <is>
          <t>params_r3_I.json override</t>
        </is>
      </c>
    </row>
    <row r="20">
      <c r="A20" t="inlineStr">
        <is>
          <t>Electrode height x width</t>
        </is>
      </c>
      <c r="B20" t="inlineStr">
        <is>
          <t>0.065 x 1.58</t>
        </is>
      </c>
      <c r="C20" t="inlineStr">
        <is>
          <t>m</t>
        </is>
      </c>
      <c r="D20" t="inlineStr">
        <is>
          <t>Chen2020 (area 0.1027 m2)</t>
        </is>
      </c>
    </row>
    <row r="21">
      <c r="A21" t="inlineStr">
        <is>
          <t>Nominal cell capacity</t>
        </is>
      </c>
      <c r="B21" t="n">
        <v>5</v>
      </c>
      <c r="C21" t="inlineStr">
        <is>
          <t>Ah</t>
        </is>
      </c>
      <c r="D21" t="inlineStr">
        <is>
          <t>Chen2020</t>
        </is>
      </c>
    </row>
    <row r="22">
      <c r="A22" t="inlineStr">
        <is>
          <t>Voltage window</t>
        </is>
      </c>
      <c r="B22" t="inlineStr">
        <is>
          <t>2.5 - 4.2</t>
        </is>
      </c>
      <c r="C22" t="inlineStr">
        <is>
          <t>V</t>
        </is>
      </c>
      <c r="D22" t="inlineStr">
        <is>
          <t>Chen2020 cut-offs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60" customWidth="1" min="3" max="3"/>
    <col width="40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1C discharge capacity</t>
        </is>
      </c>
      <c r="B2" t="n">
        <v>5.650453573251224</v>
      </c>
      <c r="C2" t="inlineStr">
        <is>
          <t>run-pyamm 1C_discharge, SPMe (discharge to 2.5 V)</t>
        </is>
      </c>
      <c r="D2" t="inlineStr">
        <is>
          <t>cell/r3_I_1c.json:capacity_ah</t>
        </is>
      </c>
    </row>
    <row r="3">
      <c r="A3" t="inlineStr">
        <is>
          <t>Discharge energy</t>
        </is>
      </c>
      <c r="B3" t="n">
        <v>19.96734178435922</v>
      </c>
      <c r="C3" t="inlineStr">
        <is>
          <t>integral V(t) x I_1C dt / 3600; I_1C = nominal capacity x 1 = 5.0 A</t>
        </is>
      </c>
      <c r="D3" t="inlineStr">
        <is>
          <t>cell/r3_I_energy.json:energy_wh</t>
        </is>
      </c>
    </row>
    <row r="4">
      <c r="A4" t="inlineStr">
        <is>
          <t>Midpoint voltage</t>
        </is>
      </c>
      <c r="B4" t="n">
        <v>4.006705258675712</v>
      </c>
      <c r="C4" t="inlineStr">
        <is>
          <t>V at t = 50% of discharge</t>
        </is>
      </c>
      <c r="D4" t="inlineStr">
        <is>
          <t>cell/r3_I_energy.json:midpoint_voltage_v</t>
        </is>
      </c>
    </row>
    <row r="5">
      <c r="A5" t="inlineStr">
        <is>
          <t>DC resistance</t>
        </is>
      </c>
      <c r="B5" t="n">
        <v>0.0001553225675047898</v>
      </c>
      <c r="C5" t="inlineStr">
        <is>
          <t>(V[0] - V[10% t]) / I_1C</t>
        </is>
      </c>
      <c r="D5" t="inlineStr">
        <is>
          <t>cell/r3_I_energy.json:dcr_ohm</t>
        </is>
      </c>
    </row>
    <row r="6">
      <c r="A6" t="inlineStr">
        <is>
          <t>Peak power density</t>
        </is>
      </c>
      <c r="B6" t="n">
        <v>748282.338619403</v>
      </c>
      <c r="C6" t="inlineStr">
        <is>
          <t>V[0]^2 / (4 x R_DC) / mass</t>
        </is>
      </c>
      <c r="D6" t="inlineStr">
        <is>
          <t>cell/r3_I_energy.json:power_density_w_kg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6" customWidth="1" min="3" max="3"/>
    <col width="46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Stack mass</t>
        </is>
      </c>
      <c r="B2" t="n">
        <v>0.0360436174696</v>
      </c>
      <c r="C2" t="inlineStr">
        <is>
          <t>sum over layers: thickness x (1-porosity) x density x area</t>
        </is>
      </c>
      <c r="D2" t="inlineStr">
        <is>
          <t>cell/r3_I_energy.json:mass_kg (recomputed match 1e-12)</t>
        </is>
      </c>
    </row>
    <row r="3">
      <c r="A3" t="inlineStr">
        <is>
          <t>Gravimetric ED</t>
        </is>
      </c>
      <c r="B3" t="n">
        <v>553.9771861467601</v>
      </c>
      <c r="C3" t="inlineStr">
        <is>
          <t>energy_wh / mass_kg</t>
        </is>
      </c>
      <c r="D3" t="inlineStr">
        <is>
          <t>cell/r3_I_energy.json:energy_density_wh_kg</t>
        </is>
      </c>
    </row>
    <row r="4">
      <c r="A4" t="inlineStr">
        <is>
          <t>Stack volume</t>
        </is>
      </c>
      <c r="B4" t="n">
        <v>2.203942e-05</v>
      </c>
      <c r="C4" t="inlineStr">
        <is>
          <t>sum layer thickness x area</t>
        </is>
      </c>
      <c r="D4" t="inlineStr">
        <is>
          <t>cell/r3_I_energy.json:volume_m3</t>
        </is>
      </c>
    </row>
    <row r="5">
      <c r="A5" t="inlineStr">
        <is>
          <t>Volumetric ED</t>
        </is>
      </c>
      <c r="B5" t="n">
        <v>905.9830877745064</v>
      </c>
      <c r="C5" t="inlineStr">
        <is>
          <t>energy_wh / volume_l</t>
        </is>
      </c>
      <c r="D5" t="inlineStr">
        <is>
          <t>cell/r3_I_energy.json:energy_density_wh_l</t>
        </is>
      </c>
    </row>
    <row r="6">
      <c r="A6" t="inlineStr">
        <is>
          <t>Electrolyte included</t>
        </is>
      </c>
      <c r="B6" t="b">
        <v>0</v>
      </c>
      <c r="C6" t="inlineStr">
        <is>
          <t>contract caliber: electrolyte excluded</t>
        </is>
      </c>
      <c r="D6" t="inlineStr">
        <is>
          <t>cell/r3_I_energy.json:electrolyte_included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62" customWidth="1" min="3" max="3"/>
    <col width="38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N/P (formula caliber)</t>
        </is>
      </c>
      <c r="B2" t="n">
        <v>0.7519568625998494</v>
      </c>
      <c r="C2" t="inlineStr">
        <is>
          <t>(c_max_neg x AMVF_neg x L_neg) / (c_max_pos x AMVF_pos x L_pos)</t>
        </is>
      </c>
      <c r="D2" t="inlineStr">
        <is>
          <t>Chen2020 c_max + params_r3_I.json</t>
        </is>
      </c>
    </row>
    <row r="3">
      <c r="A3" t="inlineStr">
        <is>
          <t>N/P (usable-window caliber)</t>
        </is>
      </c>
      <c r="B3" t="n">
        <v>1</v>
      </c>
      <c r="C3" t="inlineStr">
        <is>
          <t>anode window 0.860 vs cathode 0.647 of full capacity at 2.5-4.2 V envelope (1C: 5.6505 Ah both sides)</t>
        </is>
      </c>
      <c r="D3" t="inlineStr">
        <is>
          <t>derived from 1C capacity vs theoretical 6.567 / 8.732 Ah</t>
        </is>
      </c>
    </row>
    <row r="4">
      <c r="A4" t="inlineStr">
        <is>
          <t>Positive layer mass</t>
        </is>
      </c>
      <c r="B4" t="n">
        <v>16.8421620276</v>
      </c>
      <c r="C4" t="inlineStr">
        <is>
          <t>75.6 um x 0.665 x 3262 x 0.1027</t>
        </is>
      </c>
      <c r="D4" t="inlineStr">
        <is>
          <t>computed (matches calc-energy)</t>
        </is>
      </c>
    </row>
    <row r="5">
      <c r="A5" t="inlineStr">
        <is>
          <t>Negative layer mass</t>
        </is>
      </c>
      <c r="B5" t="n">
        <v>12.2525208</v>
      </c>
      <c r="C5" t="inlineStr">
        <is>
          <t>120 um x 0.60 x 1657 x 0.1027</t>
        </is>
      </c>
      <c r="D5" t="inlineStr">
        <is>
          <t>computed (matches calc-energy)</t>
        </is>
      </c>
    </row>
    <row r="6">
      <c r="A6" t="inlineStr">
        <is>
          <t>Al CC mass</t>
        </is>
      </c>
      <c r="B6" t="n">
        <v>2.21832</v>
      </c>
      <c r="C6" t="inlineStr">
        <is>
          <t>8 um x 2700 x 0.1027</t>
        </is>
      </c>
      <c r="D6" t="inlineStr">
        <is>
          <t>computed</t>
        </is>
      </c>
    </row>
    <row r="7">
      <c r="A7" t="inlineStr">
        <is>
          <t>Cu CC mass</t>
        </is>
      </c>
      <c r="B7" t="n">
        <v>4.600960000000001</v>
      </c>
      <c r="C7" t="inlineStr">
        <is>
          <t>5 um x 8960 x 0.1027</t>
        </is>
      </c>
      <c r="D7" t="inlineStr">
        <is>
          <t>computed</t>
        </is>
      </c>
    </row>
    <row r="8">
      <c r="A8" t="inlineStr">
        <is>
          <t>Separator mass</t>
        </is>
      </c>
      <c r="B8" t="n">
        <v>0.129654642</v>
      </c>
      <c r="C8" t="inlineStr">
        <is>
          <t>6 um x 0.53 x 397 x 0.1027</t>
        </is>
      </c>
      <c r="D8" t="inlineStr">
        <is>
          <t>computed</t>
        </is>
      </c>
    </row>
    <row r="9">
      <c r="A9" t="inlineStr">
        <is>
          <t>Total</t>
        </is>
      </c>
      <c r="B9" t="n">
        <v>36.04361746960001</v>
      </c>
      <c r="C9" t="inlineStr">
        <is>
          <t>sum of above</t>
        </is>
      </c>
      <c r="D9">
        <f> cell/r3_I_energy.json:mass_kg x 1000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52" customWidth="1" min="3" max="3"/>
    <col width="42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Positive areal density</t>
        </is>
      </c>
      <c r="B2" t="inlineStr">
        <is>
          <t>163.994 g/m2 = 16.399 mg/cm2</t>
        </is>
      </c>
      <c r="C2" t="inlineStr">
        <is>
          <t>thickness x (1-porosity) x density</t>
        </is>
      </c>
      <c r="D2" t="inlineStr">
        <is>
          <t>computed</t>
        </is>
      </c>
    </row>
    <row r="3">
      <c r="A3" t="inlineStr">
        <is>
          <t>Negative areal density</t>
        </is>
      </c>
      <c r="B3" t="inlineStr">
        <is>
          <t>119.304 g/m2 = 11.930 mg/cm2</t>
        </is>
      </c>
      <c r="C3" t="inlineStr">
        <is>
          <t>thickness x (1-porosity) x density</t>
        </is>
      </c>
      <c r="D3" t="inlineStr">
        <is>
          <t>computed</t>
        </is>
      </c>
    </row>
    <row r="4">
      <c r="A4" t="inlineStr">
        <is>
          <t>Positive compaction density</t>
        </is>
      </c>
      <c r="B4" t="inlineStr">
        <is>
          <t>2169.2 kg/m3 = 2.169 g/cm3</t>
        </is>
      </c>
      <c r="C4" t="inlineStr">
        <is>
          <t>density x (1-porosity) / 1000</t>
        </is>
      </c>
      <c r="D4" t="inlineStr">
        <is>
          <t>computed (x1000-folding point checked)</t>
        </is>
      </c>
    </row>
    <row r="5">
      <c r="A5" t="inlineStr">
        <is>
          <t>Negative compaction density</t>
        </is>
      </c>
      <c r="B5" t="inlineStr">
        <is>
          <t>994.2 kg/m3 = 0.994 g/cm3</t>
        </is>
      </c>
      <c r="C5" t="inlineStr">
        <is>
          <t>density x (1-porosity) / 1000</t>
        </is>
      </c>
      <c r="D5" t="inlineStr">
        <is>
          <t>computed</t>
        </is>
      </c>
    </row>
    <row r="6">
      <c r="A6" t="inlineStr">
        <is>
          <t>Electrolyte fill amount</t>
        </is>
      </c>
      <c r="B6" t="inlineStr">
        <is>
          <t>9.3842 g</t>
        </is>
      </c>
      <c r="C6" t="inlineStr">
        <is>
          <t>pore volume x 1.2 g/cm3 x fill factor 1.0</t>
        </is>
      </c>
      <c r="D6" t="inlineStr">
        <is>
          <t>pore volume from parameter set; density literature estimate</t>
        </is>
      </c>
    </row>
    <row r="7">
      <c r="A7" t="inlineStr">
        <is>
          <t>Formation recommendation</t>
        </is>
      </c>
      <c r="B7" t="inlineStr">
        <is>
          <t>0.1C CC to 4.2 V, 25 degC, 2 cycles</t>
        </is>
      </c>
      <c r="C7" t="inlineStr">
        <is>
          <t>design recommended value; production tuning required</t>
        </is>
      </c>
      <c r="D7" t="inlineStr">
        <is>
          <t>annotated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2026-08-24T17:15:10Z</dcterms:created>
  <dcterms:modified xmlns:dcterms="http://purl.org/dc/terms/" xmlns:xsi="http://www.w3.org/2001/XMLSchema-instance" xsi:type="dcterms:W3CDTF">2026-08-24T17:15:10Z</dcterms:modified>
</cp:coreProperties>
</file>