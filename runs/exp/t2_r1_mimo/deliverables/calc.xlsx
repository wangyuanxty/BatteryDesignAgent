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A8A"/>
        <bgColor rgb="001E5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7" customWidth="1" min="3" max="3"/>
    <col width="4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Formula/Source</t>
        </is>
      </c>
    </row>
    <row r="2">
      <c r="A2" s="2" t="inlineStr">
        <is>
          <t>Nominal capacity</t>
        </is>
      </c>
      <c r="B2" s="2" t="inlineStr">
        <is>
          <t>3.28</t>
        </is>
      </c>
      <c r="C2" s="2" t="inlineStr">
        <is>
          <t>Ah</t>
        </is>
      </c>
      <c r="D2" s="2" t="inlineStr">
        <is>
          <t>Simulation: r5_Q_1c.json</t>
        </is>
      </c>
    </row>
    <row r="3">
      <c r="A3" s="2" t="inlineStr">
        <is>
          <t>1C current</t>
        </is>
      </c>
      <c r="B3" s="2" t="inlineStr">
        <is>
          <t>3.28</t>
        </is>
      </c>
      <c r="C3" s="2" t="inlineStr">
        <is>
          <t>A</t>
        </is>
      </c>
      <c r="D3" s="2">
        <f> Nominal capacity × 1</f>
        <v/>
      </c>
    </row>
    <row r="4">
      <c r="A4" s="2" t="inlineStr">
        <is>
          <t>Discharge energy</t>
        </is>
      </c>
      <c r="B4" s="2" t="inlineStr">
        <is>
          <t>11.84</t>
        </is>
      </c>
      <c r="C4" s="2" t="inlineStr">
        <is>
          <t>Wh</t>
        </is>
      </c>
      <c r="D4" s="2">
        <f> ∫V·I₁C dt / 3600 (trapezoidal)</f>
        <v/>
      </c>
    </row>
    <row r="5">
      <c r="A5" s="2" t="inlineStr">
        <is>
          <t>Cell mass (excl. electrolyte)</t>
        </is>
      </c>
      <c r="B5" s="2" t="inlineStr">
        <is>
          <t>33.4</t>
        </is>
      </c>
      <c r="C5" s="2" t="inlineStr">
        <is>
          <t>g</t>
        </is>
      </c>
      <c r="D5" s="2">
        <f> Σ layer thickness×(1−ε)×density×area</f>
        <v/>
      </c>
    </row>
    <row r="6">
      <c r="A6" s="2" t="inlineStr">
        <is>
          <t>Energy density (gravimetric)</t>
        </is>
      </c>
      <c r="B6" s="2" t="inlineStr">
        <is>
          <t>378.69</t>
        </is>
      </c>
      <c r="C6" s="2" t="inlineStr">
        <is>
          <t>Wh/kg</t>
        </is>
      </c>
      <c r="D6" s="2">
        <f> 11.84 Wh / 0.0334 kg</f>
        <v/>
      </c>
    </row>
    <row r="7">
      <c r="A7" s="2" t="inlineStr">
        <is>
          <t>Midpoint voltage</t>
        </is>
      </c>
      <c r="B7" s="2" t="inlineStr">
        <is>
          <t>3.61</t>
        </is>
      </c>
      <c r="C7" s="2" t="inlineStr">
        <is>
          <t>V</t>
        </is>
      </c>
      <c r="D7" s="2">
        <f> Voltage at discharge midpoint</f>
        <v/>
      </c>
    </row>
    <row r="8">
      <c r="A8" s="2" t="inlineStr">
        <is>
          <t>DC resistance</t>
        </is>
      </c>
      <c r="B8" s="2" t="inlineStr">
        <is>
          <t>0.35</t>
        </is>
      </c>
      <c r="C8" s="2" t="inlineStr">
        <is>
          <t>mΩ</t>
        </is>
      </c>
      <c r="D8" s="2">
        <f> (OCV_start − V_10%) / I₁C</f>
        <v/>
      </c>
    </row>
    <row r="9">
      <c r="A9" s="2" t="inlineStr">
        <is>
          <t>Power density</t>
        </is>
      </c>
      <c r="B9" s="2" t="inlineStr">
        <is>
          <t>269.7</t>
        </is>
      </c>
      <c r="C9" s="2" t="inlineStr">
        <is>
          <t>W/kg</t>
        </is>
      </c>
      <c r="D9" s="2">
        <f> V_OC²/(4·DCR) / mass</f>
        <v/>
      </c>
    </row>
    <row r="10">
      <c r="A10" s="2" t="inlineStr">
        <is>
          <t>Positive electrode thickness</t>
        </is>
      </c>
      <c r="B10" s="2" t="inlineStr">
        <is>
          <t>40</t>
        </is>
      </c>
      <c r="C10" s="2" t="inlineStr">
        <is>
          <t>µm</t>
        </is>
      </c>
      <c r="D10" s="2" t="inlineStr">
        <is>
          <t>Parameter override</t>
        </is>
      </c>
    </row>
    <row r="11">
      <c r="A11" s="2" t="inlineStr">
        <is>
          <t>Negative electrode thickness</t>
        </is>
      </c>
      <c r="B11" s="2" t="inlineStr">
        <is>
          <t>60</t>
        </is>
      </c>
      <c r="C11" s="2" t="inlineStr">
        <is>
          <t>µm</t>
        </is>
      </c>
      <c r="D11" s="2" t="inlineStr">
        <is>
          <t>Parameter override</t>
        </is>
      </c>
    </row>
    <row r="12">
      <c r="A12" s="2" t="inlineStr">
        <is>
          <t>N/P ratio</t>
        </is>
      </c>
      <c r="B12" s="2" t="inlineStr">
        <is>
          <t>1.5</t>
        </is>
      </c>
      <c r="C12" s="2" t="inlineStr">
        <is>
          <t>—</t>
        </is>
      </c>
      <c r="D12" s="2">
        <f> 60/40</f>
        <v/>
      </c>
    </row>
    <row r="13">
      <c r="A13" s="2" t="inlineStr">
        <is>
          <t>Positive particle radius</t>
        </is>
      </c>
      <c r="B13" s="2" t="inlineStr">
        <is>
          <t>2</t>
        </is>
      </c>
      <c r="C13" s="2" t="inlineStr">
        <is>
          <t>µm</t>
        </is>
      </c>
      <c r="D13" s="2" t="inlineStr">
        <is>
          <t>Parameter override</t>
        </is>
      </c>
    </row>
    <row r="14">
      <c r="A14" s="2" t="inlineStr">
        <is>
          <t>Negative particle radius</t>
        </is>
      </c>
      <c r="B14" s="2" t="inlineStr">
        <is>
          <t>5</t>
        </is>
      </c>
      <c r="C14" s="2" t="inlineStr">
        <is>
          <t>µm</t>
        </is>
      </c>
      <c r="D14" s="2" t="inlineStr">
        <is>
          <t>Parameter override</t>
        </is>
      </c>
    </row>
    <row r="15">
      <c r="A15" s="2" t="inlineStr">
        <is>
          <t>Electrolyte diffusivity</t>
        </is>
      </c>
      <c r="B15" s="2" t="inlineStr">
        <is>
          <t>2.0e-9</t>
        </is>
      </c>
      <c r="C15" s="2" t="inlineStr">
        <is>
          <t>m²/s</t>
        </is>
      </c>
      <c r="D15" s="2" t="inlineStr">
        <is>
          <t>Parameter override (estimate)</t>
        </is>
      </c>
    </row>
    <row r="16">
      <c r="A16" s="2" t="inlineStr">
        <is>
          <t>Electrolyte conductivity</t>
        </is>
      </c>
      <c r="B16" s="2" t="inlineStr">
        <is>
          <t>2.5</t>
        </is>
      </c>
      <c r="C16" s="2" t="inlineStr">
        <is>
          <t>S/m</t>
        </is>
      </c>
      <c r="D16" s="2" t="inlineStr">
        <is>
          <t>Parameter override (estimate)</t>
        </is>
      </c>
    </row>
    <row r="17">
      <c r="A17" s="2" t="inlineStr">
        <is>
          <t>Cation transference number</t>
        </is>
      </c>
      <c r="B17" s="2" t="inlineStr">
        <is>
          <t>0.38</t>
        </is>
      </c>
      <c r="C17" s="2" t="inlineStr">
        <is>
          <t>—</t>
        </is>
      </c>
      <c r="D17" s="2" t="inlineStr">
        <is>
          <t>Parameter override (estimate)</t>
        </is>
      </c>
    </row>
    <row r="18">
      <c r="A18" s="2" t="inlineStr">
        <is>
          <t>SEI kinetic rate constant</t>
        </is>
      </c>
      <c r="B18" s="2" t="inlineStr">
        <is>
          <t>7e-15</t>
        </is>
      </c>
      <c r="C18" s="2" t="inlineStr">
        <is>
          <t>m/s</t>
        </is>
      </c>
      <c r="D18" s="2" t="inlineStr">
        <is>
          <t>Parameter override (estimate)</t>
        </is>
      </c>
    </row>
    <row r="19">
      <c r="A19" s="2" t="inlineStr">
        <is>
          <t>4C charge T_max</t>
        </is>
      </c>
      <c r="B19" s="2" t="inlineStr">
        <is>
          <t>344.95</t>
        </is>
      </c>
      <c r="C19" s="2" t="inlineStr">
        <is>
          <t>K</t>
        </is>
      </c>
      <c r="D19" s="2" t="inlineStr">
        <is>
          <t>Simulation: r5_Q_4c.json</t>
        </is>
      </c>
    </row>
    <row r="20">
      <c r="A20" s="2" t="inlineStr">
        <is>
          <t>4C min anode potential</t>
        </is>
      </c>
      <c r="B20" s="2" t="inlineStr">
        <is>
          <t>0.0006</t>
        </is>
      </c>
      <c r="C20" s="2" t="inlineStr">
        <is>
          <t>V</t>
        </is>
      </c>
      <c r="D20" s="2" t="inlineStr">
        <is>
          <t>Simulation: r5_Q_4c.json</t>
        </is>
      </c>
    </row>
    <row r="21">
      <c r="A21" s="2" t="inlineStr">
        <is>
          <t>Low-T (-20°C) retention</t>
        </is>
      </c>
      <c r="B21" s="2" t="inlineStr">
        <is>
          <t>99.99</t>
        </is>
      </c>
      <c r="C21" s="2" t="inlineStr">
        <is>
          <t>%</t>
        </is>
      </c>
      <c r="D21" s="2">
        <f> cap_lowT / cap_1C × 100</f>
        <v/>
      </c>
    </row>
    <row r="22">
      <c r="A22" s="2" t="inlineStr">
        <is>
          <t>SEI thickness @100 cyc</t>
        </is>
      </c>
      <c r="B22" s="2" t="inlineStr">
        <is>
          <t>205.9</t>
        </is>
      </c>
      <c r="C22" s="2" t="inlineStr">
        <is>
          <t>nm</t>
        </is>
      </c>
      <c r="D22" s="2" t="inlineStr">
        <is>
          <t>Simulation: r5_Q_aging100.json</t>
        </is>
      </c>
    </row>
    <row r="23">
      <c r="A23" s="2" t="inlineStr">
        <is>
          <t>SEI thickness @500 cyc</t>
        </is>
      </c>
      <c r="B23" s="2" t="inlineStr">
        <is>
          <t>518.1</t>
        </is>
      </c>
      <c r="C23" s="2" t="inlineStr">
        <is>
          <t>nm</t>
        </is>
      </c>
      <c r="D23" s="2" t="inlineStr">
        <is>
          <t>Simulation: r5_Q_aging500.json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2026-08-30T14:33:36Z</dcterms:created>
  <dcterms:modified xmlns:dcterms="http://purl.org/dc/terms/" xmlns:xsi="http://www.w3.org/2001/XMLSchema-instance" xsi:type="dcterms:W3CDTF">2026-08-30T14:33:36Z</dcterms:modified>
</cp:coreProperties>
</file>