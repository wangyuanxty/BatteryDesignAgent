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83C"/>
        <bgColor rgb="001428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Mass Calculation</t>
        </is>
      </c>
    </row>
    <row r="2">
      <c r="A2" s="2" t="inlineStr">
        <is>
          <t>Component</t>
        </is>
      </c>
      <c r="B2" s="2" t="inlineStr">
        <is>
          <t>Thickness (m)</t>
        </is>
      </c>
      <c r="C2" s="2" t="inlineStr">
        <is>
          <t>Porosity</t>
        </is>
      </c>
      <c r="D2" s="2" t="inlineStr">
        <is>
          <t>Density (kg/m³)</t>
        </is>
      </c>
      <c r="E2" s="2" t="inlineStr">
        <is>
          <t>Area (m²)</t>
        </is>
      </c>
      <c r="F2" s="2" t="inlineStr">
        <is>
          <t>Mass (kg)</t>
        </is>
      </c>
      <c r="G2" s="2" t="inlineStr">
        <is>
          <t>Mass (g)</t>
        </is>
      </c>
    </row>
    <row r="3">
      <c r="A3" s="3" t="inlineStr">
        <is>
          <t>Positive electrode</t>
        </is>
      </c>
      <c r="B3" s="3" t="n">
        <v>0.0001</v>
      </c>
      <c r="C3" s="3" t="n">
        <v>0.32</v>
      </c>
      <c r="D3" s="3" t="n">
        <v>3260</v>
      </c>
      <c r="E3" s="3" t="n">
        <v>0.1027</v>
      </c>
      <c r="F3" s="3">
        <f>B3*(1-C3)*D3*E3</f>
        <v/>
      </c>
      <c r="G3" s="3">
        <f>F3*1000</f>
        <v/>
      </c>
    </row>
    <row r="4">
      <c r="A4" s="3" t="inlineStr">
        <is>
          <t>Positive CC</t>
        </is>
      </c>
      <c r="B4" s="3" t="n">
        <v>1e-05</v>
      </c>
      <c r="C4" s="3" t="n">
        <v>0</v>
      </c>
      <c r="D4" s="3" t="n">
        <v>2700</v>
      </c>
      <c r="E4" s="3" t="n">
        <v>0.1027</v>
      </c>
      <c r="F4" s="3">
        <f>B4*(1-C4)*D4*E4</f>
        <v/>
      </c>
      <c r="G4" s="3">
        <f>F4*1000</f>
        <v/>
      </c>
    </row>
    <row r="5">
      <c r="A5" s="3" t="inlineStr">
        <is>
          <t>Separator</t>
        </is>
      </c>
      <c r="B5" s="3" t="n">
        <v>1.5e-05</v>
      </c>
      <c r="C5" s="3" t="n">
        <v>0.45</v>
      </c>
      <c r="D5" s="3" t="n">
        <v>900</v>
      </c>
      <c r="E5" s="3" t="n">
        <v>0.1027</v>
      </c>
      <c r="F5" s="3">
        <f>B5*(1-C5)*D5*E5</f>
        <v/>
      </c>
      <c r="G5" s="3">
        <f>F5*1000</f>
        <v/>
      </c>
    </row>
    <row r="6">
      <c r="A6" s="3" t="inlineStr">
        <is>
          <t>Negative CC</t>
        </is>
      </c>
      <c r="B6" s="3" t="n">
        <v>5e-06</v>
      </c>
      <c r="C6" s="3" t="n">
        <v>0</v>
      </c>
      <c r="D6" s="3" t="n">
        <v>8960</v>
      </c>
      <c r="E6" s="3" t="n">
        <v>0.1027</v>
      </c>
      <c r="F6" s="3">
        <f>B6*(1-C6)*D6*E6</f>
        <v/>
      </c>
      <c r="G6" s="3">
        <f>F6*1000</f>
        <v/>
      </c>
    </row>
    <row r="7">
      <c r="A7" s="3" t="inlineStr">
        <is>
          <t>Negative electrode</t>
        </is>
      </c>
      <c r="B7" s="3" t="n">
        <v>9.000000000000001e-05</v>
      </c>
      <c r="C7" s="3" t="n">
        <v>0.28</v>
      </c>
      <c r="D7" s="3" t="n">
        <v>1660</v>
      </c>
      <c r="E7" s="3" t="n">
        <v>0.1027</v>
      </c>
      <c r="F7" s="3">
        <f>B7*(1-C7)*D7*E7</f>
        <v/>
      </c>
      <c r="G7" s="3">
        <f>F7*1000</f>
        <v/>
      </c>
    </row>
    <row r="8">
      <c r="A8" s="4" t="inlineStr">
        <is>
          <t>TOTAL</t>
        </is>
      </c>
      <c r="B8" s="4" t="inlineStr"/>
      <c r="C8" s="4" t="inlineStr"/>
      <c r="D8" s="4" t="inlineStr"/>
      <c r="E8" s="4" t="inlineStr"/>
      <c r="F8" s="4">
        <f>SUM(F3:F7)</f>
        <v/>
      </c>
      <c r="G8" s="4">
        <f>SUM(G3:G7)</f>
        <v/>
      </c>
    </row>
    <row r="10">
      <c r="A10" s="1" t="inlineStr">
        <is>
          <t>Energy Density Calculation</t>
        </is>
      </c>
    </row>
    <row r="11">
      <c r="A11" s="2" t="inlineStr">
        <is>
          <t>Parameter</t>
        </is>
      </c>
      <c r="B11" s="2" t="inlineStr">
        <is>
          <t>Value</t>
        </is>
      </c>
      <c r="C11" s="2" t="inlineStr">
        <is>
          <t>Unit</t>
        </is>
      </c>
      <c r="D11" s="2" t="inlineStr">
        <is>
          <t>Source</t>
        </is>
      </c>
    </row>
    <row r="12">
      <c r="A12" s="3" t="inlineStr">
        <is>
          <t>Discharge energy</t>
        </is>
      </c>
      <c r="B12" s="3" t="n">
        <v>19.367</v>
      </c>
      <c r="C12" s="3" t="inlineStr">
        <is>
          <t>Wh</t>
        </is>
      </c>
      <c r="D12" s="3" t="inlineStr">
        <is>
          <t>r3_archF_1c_energy.json:energy_wh</t>
        </is>
      </c>
    </row>
    <row r="13">
      <c r="A13" s="3" t="inlineStr">
        <is>
          <t>Total mass</t>
        </is>
      </c>
      <c r="B13" s="3" t="n">
        <v>0.04142</v>
      </c>
      <c r="C13" s="3" t="inlineStr">
        <is>
          <t>kg</t>
        </is>
      </c>
      <c r="D13" s="3" t="inlineStr">
        <is>
          <t>Sum of layer masses</t>
        </is>
      </c>
    </row>
    <row r="14">
      <c r="A14" s="3" t="inlineStr">
        <is>
          <t>Energy density</t>
        </is>
      </c>
      <c r="B14" s="3">
        <f>B12/B13</f>
        <v/>
      </c>
      <c r="C14" s="3" t="inlineStr">
        <is>
          <t>Wh/kg</t>
        </is>
      </c>
      <c r="D14" s="3" t="inlineStr">
        <is>
          <t>Energy / Mass</t>
        </is>
      </c>
    </row>
    <row r="15">
      <c r="A15" s="3" t="inlineStr">
        <is>
          <t>Volumetric ED</t>
        </is>
      </c>
      <c r="B15" s="3">
        <f>B12/0.0000226</f>
        <v/>
      </c>
      <c r="C15" s="3" t="inlineStr">
        <is>
          <t>Wh/L</t>
        </is>
      </c>
      <c r="D15" s="3" t="inlineStr">
        <is>
          <t>Energy / Volume</t>
        </is>
      </c>
    </row>
    <row r="16">
      <c r="A16" s="3" t="inlineStr">
        <is>
          <t>Midpoint voltage</t>
        </is>
      </c>
      <c r="B16" s="3" t="n">
        <v>3.993</v>
      </c>
      <c r="C16" s="3" t="inlineStr">
        <is>
          <t>V</t>
        </is>
      </c>
      <c r="D16" s="3" t="inlineStr">
        <is>
          <t>r3_archF_1c_energy.json:midpoint_voltage_v</t>
        </is>
      </c>
    </row>
    <row r="17">
      <c r="A17" s="3" t="inlineStr">
        <is>
          <t>DC resistance</t>
        </is>
      </c>
      <c r="B17" s="3" t="n">
        <v>0.000115</v>
      </c>
      <c r="C17" s="3" t="inlineStr">
        <is>
          <t>Ω</t>
        </is>
      </c>
      <c r="D17" s="3" t="inlineStr">
        <is>
          <t>r3_archF_1c_energy.json:dcr_ohm</t>
        </is>
      </c>
    </row>
    <row r="18">
      <c r="A18" s="3" t="inlineStr">
        <is>
          <t>Power density</t>
        </is>
      </c>
      <c r="B18" s="3">
        <f>B16^2/(4*B17)/B13</f>
        <v/>
      </c>
      <c r="C18" s="3" t="inlineStr">
        <is>
          <t>W/kg</t>
        </is>
      </c>
      <c r="D18" s="3" t="inlineStr">
        <is>
          <t>V_OC²/(4·R) / mass</t>
        </is>
      </c>
    </row>
    <row r="20">
      <c r="A20" s="1" t="inlineStr">
        <is>
          <t>Rate Capability</t>
        </is>
      </c>
    </row>
    <row r="21">
      <c r="A21" s="2" t="inlineStr">
        <is>
          <t>Condition</t>
        </is>
      </c>
      <c r="B21" s="2" t="inlineStr">
        <is>
          <t>Capacity (Ah)</t>
        </is>
      </c>
      <c r="C21" s="2" t="inlineStr">
        <is>
          <t>Retention (%)</t>
        </is>
      </c>
      <c r="D21" s="2" t="inlineStr">
        <is>
          <t>T_max (K)</t>
        </is>
      </c>
      <c r="E21" s="2" t="inlineStr">
        <is>
          <t>Source</t>
        </is>
      </c>
    </row>
    <row r="22">
      <c r="A22" s="3" t="inlineStr">
        <is>
          <t>1C discharge</t>
        </is>
      </c>
      <c r="B22" s="3" t="n">
        <v>5.326</v>
      </c>
      <c r="C22" s="3" t="n">
        <v>100</v>
      </c>
      <c r="D22" s="3" t="n">
        <v>308.8</v>
      </c>
      <c r="E22" s="3" t="inlineStr">
        <is>
          <t>r3_archF_1c.json</t>
        </is>
      </c>
    </row>
    <row r="23">
      <c r="A23" s="3" t="inlineStr">
        <is>
          <t>5C discharge</t>
        </is>
      </c>
      <c r="B23" s="3" t="n">
        <v>5.071</v>
      </c>
      <c r="C23" s="3">
        <f>B22/B22*100</f>
        <v/>
      </c>
      <c r="D23" s="3" t="n">
        <v>386.6</v>
      </c>
      <c r="E23" s="3" t="inlineStr">
        <is>
          <t>r3_archF_5c.json</t>
        </is>
      </c>
    </row>
    <row r="24">
      <c r="A24" s="3" t="inlineStr">
        <is>
          <t>5C retention</t>
        </is>
      </c>
      <c r="B24" s="3">
        <f>B23/B22</f>
        <v/>
      </c>
      <c r="C24" s="3" t="inlineStr">
        <is>
          <t>target&gt;=90%</t>
        </is>
      </c>
      <c r="D24" s="3" t="inlineStr"/>
      <c r="E24" s="3" t="inlineStr"/>
    </row>
    <row r="26">
      <c r="A26" s="1" t="inlineStr">
        <is>
          <t>Safety Assessment</t>
        </is>
      </c>
    </row>
    <row r="27">
      <c r="A27" s="2" t="inlineStr">
        <is>
          <t>Test</t>
        </is>
      </c>
      <c r="B27" s="2" t="inlineStr">
        <is>
          <t>T_max (K)</t>
        </is>
      </c>
      <c r="C27" s="2" t="inlineStr">
        <is>
          <t>Limit (K)</t>
        </is>
      </c>
      <c r="D27" s="2" t="inlineStr">
        <is>
          <t>Verdict</t>
        </is>
      </c>
      <c r="E27" s="2" t="inlineStr">
        <is>
          <t>Anode min (V)</t>
        </is>
      </c>
      <c r="F27" s="2" t="inlineStr">
        <is>
          <t>Plating</t>
        </is>
      </c>
    </row>
    <row r="28">
      <c r="A28" s="3" t="inlineStr">
        <is>
          <t>4C charge 45°C</t>
        </is>
      </c>
      <c r="B28" s="3" t="n">
        <v>361.8</v>
      </c>
      <c r="C28" s="3" t="n">
        <v>358.15</v>
      </c>
      <c r="D28" s="3" t="inlineStr">
        <is>
          <t>MARGINAL</t>
        </is>
      </c>
      <c r="E28" s="3" t="n">
        <v>0.03</v>
      </c>
      <c r="F28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2026-08-30T17:18:10Z</dcterms:created>
  <dcterms:modified xmlns:dcterms="http://purl.org/dc/terms/" xmlns:xsi="http://www.w3.org/2001/XMLSchema-instance" xsi:type="dcterms:W3CDTF">2026-08-30T17:18:10Z</dcterms:modified>
</cp:coreProperties>
</file>