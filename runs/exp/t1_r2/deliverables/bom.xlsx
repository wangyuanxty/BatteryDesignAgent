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4283C"/>
      </patternFill>
    </fill>
    <fill>
      <patternFill patternType="solid">
        <fgColor rgb="00C97B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95" customWidth="1" min="4" max="4"/>
  </cols>
  <sheetData>
    <row r="1">
      <c r="A1" t="inlineStr">
        <is>
          <t>Bill of Materials - V4b (VBF-T1R2-BOM-01) | case t1_r2 | energy ref 20.5534 Wh (cell/r4_v4b_energy.json:energy_wh)</t>
        </is>
      </c>
    </row>
    <row r="2">
      <c r="A2" s="1" t="inlineStr">
        <is>
          <t>Component</t>
        </is>
      </c>
      <c r="B2" s="1" t="inlineStr">
        <is>
          <t>Mass (g/cell)</t>
        </is>
      </c>
      <c r="C2" s="1" t="inlineStr">
        <is>
          <t>Mass (kg/kWh)</t>
        </is>
      </c>
      <c r="D2" s="1" t="inlineStr">
        <is>
          <t>Formula / source</t>
        </is>
      </c>
    </row>
    <row r="3">
      <c r="A3" t="inlineStr">
        <is>
          <t>Positive active material (NMC811)</t>
        </is>
      </c>
      <c r="B3" t="n">
        <v>15.399</v>
      </c>
      <c r="C3" t="n">
        <v>0.7492</v>
      </c>
      <c r="D3" t="inlineStr">
        <is>
          <t>coating mass x 0.95; coating = layer_kg_m2.positive_electrode x 0.1027 m2; 95/3/2 wt% active/binder/conductive literature default (annotated estimate)</t>
        </is>
      </c>
    </row>
    <row r="4">
      <c r="A4" t="inlineStr">
        <is>
          <t>Positive binder (PVDF)</t>
        </is>
      </c>
      <c r="B4" t="n">
        <v>0.486</v>
      </c>
      <c r="C4" t="n">
        <v>0.0237</v>
      </c>
      <c r="D4" t="inlineStr">
        <is>
          <t>coating mass x 0.03 (literature default, annotated)</t>
        </is>
      </c>
    </row>
    <row r="5">
      <c r="A5" t="inlineStr">
        <is>
          <t>Positive conductive additive (carbon black)</t>
        </is>
      </c>
      <c r="B5" t="n">
        <v>0.324</v>
      </c>
      <c r="C5" t="n">
        <v>0.0158</v>
      </c>
      <c r="D5" t="inlineStr">
        <is>
          <t>coating mass x 0.02 (literature default, annotated)</t>
        </is>
      </c>
    </row>
    <row r="6">
      <c r="A6" t="inlineStr">
        <is>
          <t>Negative active material (graphite)</t>
        </is>
      </c>
      <c r="B6" t="n">
        <v>10.553</v>
      </c>
      <c r="C6" t="n">
        <v>0.5135</v>
      </c>
      <c r="D6" t="inlineStr">
        <is>
          <t>coating mass x 0.95; coating = layer_kg_m2.negative_electrode x 0.1027 m2</t>
        </is>
      </c>
    </row>
    <row r="7">
      <c r="A7" t="inlineStr">
        <is>
          <t>Negative binder (CMC/SBR)</t>
        </is>
      </c>
      <c r="B7" t="n">
        <v>0.333</v>
      </c>
      <c r="C7" t="n">
        <v>0.0162</v>
      </c>
      <c r="D7" t="inlineStr">
        <is>
          <t>coating mass x 0.03 (literature default, annotated)</t>
        </is>
      </c>
    </row>
    <row r="8">
      <c r="A8" t="inlineStr">
        <is>
          <t>Negative conductive additive</t>
        </is>
      </c>
      <c r="B8" t="n">
        <v>0.222</v>
      </c>
      <c r="C8" t="n">
        <v>0.0108</v>
      </c>
      <c r="D8" t="inlineStr">
        <is>
          <t>coating mass x 0.02 (literature default, annotated)</t>
        </is>
      </c>
    </row>
    <row r="9">
      <c r="A9" t="inlineStr">
        <is>
          <t>Separator (polyolefin)</t>
        </is>
      </c>
      <c r="B9" t="n">
        <v>0.183</v>
      </c>
      <c r="C9" t="n">
        <v>0.0089</v>
      </c>
      <c r="D9" t="inlineStr">
        <is>
          <t>layer_kg_m2.separator x 0.1027 m2</t>
        </is>
      </c>
    </row>
    <row r="10">
      <c r="A10" t="inlineStr">
        <is>
          <t>Positive current collector (Al)</t>
        </is>
      </c>
      <c r="B10" t="n">
        <v>2.218</v>
      </c>
      <c r="C10" t="n">
        <v>0.1079</v>
      </c>
      <c r="D10" t="inlineStr">
        <is>
          <t>layer_kg_m2.positive_cc x 0.1027 m2 (8 um x 2700 kg/m3)</t>
        </is>
      </c>
    </row>
    <row r="11">
      <c r="A11" t="inlineStr">
        <is>
          <t>Negative current collector (Cu)</t>
        </is>
      </c>
      <c r="B11" t="n">
        <v>5.521</v>
      </c>
      <c r="C11" t="n">
        <v>0.2686</v>
      </c>
      <c r="D11" t="inlineStr">
        <is>
          <t>layer_kg_m2.negative_cc x 0.1027 m2 (6 um x 8960 kg/m3)</t>
        </is>
      </c>
    </row>
    <row r="12">
      <c r="A12" t="inlineStr">
        <is>
          <t>Electrolyte (LiPF6/EC-EMC)</t>
        </is>
      </c>
      <c r="B12" t="n">
        <v>7.694</v>
      </c>
      <c r="C12" t="n">
        <v>0.3743</v>
      </c>
      <c r="D12" t="inlineStr">
        <is>
          <t>pore volume 6.41 cm3 x 1.2 g/cm3 literature density (annotated estimate), fill factor 1.0</t>
        </is>
      </c>
    </row>
    <row r="13">
      <c r="A13" t="inlineStr">
        <is>
          <t>Enclosure / tabs</t>
        </is>
      </c>
      <c r="B13" t="inlineStr">
        <is>
          <t>Not modeled</t>
        </is>
      </c>
      <c r="C13" t="inlineStr">
        <is>
          <t>Not modeled</t>
        </is>
      </c>
      <c r="D13" t="inlineStr">
        <is>
          <t>Not modeled (beyond pure simulation boundary)</t>
        </is>
      </c>
    </row>
    <row r="15">
      <c r="A15" t="inlineStr">
        <is>
          <t>Total (contract caliber, electrolyte excluded)</t>
        </is>
      </c>
      <c r="B15" t="n">
        <v>35.241</v>
      </c>
      <c r="C15" t="n">
        <v>1.7146</v>
      </c>
      <c r="D15">
        <f> cell/r4_v4b_energy.json:mass_kg x 1000</f>
        <v/>
      </c>
    </row>
    <row r="16">
      <c r="A16" t="inlineStr">
        <is>
          <t>Total (incl. electrolyte estimate)</t>
        </is>
      </c>
      <c r="B16" t="n">
        <v>42.935</v>
      </c>
      <c r="C16" t="n">
        <v>2.0889</v>
      </c>
      <c r="D16">
        <f> subtotal + electrolyte</f>
        <v/>
      </c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2026-08-25T18:24:44Z</dcterms:created>
  <dcterms:modified xmlns:dcterms="http://purl.org/dc/terms/" xmlns:xsi="http://www.w3.org/2001/XMLSchema-instance" xsi:type="dcterms:W3CDTF">2026-08-25T18:24:44Z</dcterms:modified>
</cp:coreProperties>
</file>