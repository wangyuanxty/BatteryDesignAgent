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 &amp; Energy" sheetId="2" state="visible" r:id="rId2"/>
    <sheet xmlns:r="http://schemas.openxmlformats.org/officeDocument/2006/relationships" name="Energy Density" sheetId="3" state="visible" r:id="rId3"/>
    <sheet xmlns:r="http://schemas.openxmlformats.org/officeDocument/2006/relationships" name="NP &amp; Mass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10" customWidth="1" min="4" max="4"/>
    <col width="48" customWidth="1" min="5" max="5"/>
  </cols>
  <sheetData>
    <row r="1">
      <c r="A1" t="inlineStr">
        <is>
          <t>Design Calculation Sheet - V4b (VBF-T1R2-CALC-01) | case t1_r2</t>
        </is>
      </c>
    </row>
    <row r="2">
      <c r="A2" s="1" t="inlineStr">
        <is>
          <t>Parameter</t>
        </is>
      </c>
      <c r="B2" s="1" t="inlineStr">
        <is>
          <t>Base (Chen2020)</t>
        </is>
      </c>
      <c r="C2" s="1" t="inlineStr">
        <is>
          <t>V4b design value</t>
        </is>
      </c>
      <c r="D2" s="1" t="inlineStr">
        <is>
          <t>Unit</t>
        </is>
      </c>
      <c r="E2" s="1" t="inlineStr">
        <is>
          <t>Source</t>
        </is>
      </c>
    </row>
    <row r="3">
      <c r="A3" t="inlineStr">
        <is>
          <t>Positive electrode thickness</t>
        </is>
      </c>
      <c r="B3" t="n">
        <v>75.59999999999999</v>
      </c>
      <c r="C3" t="n">
        <v>75.59999999999999</v>
      </c>
      <c r="D3" t="inlineStr">
        <is>
          <t>um</t>
        </is>
      </c>
      <c r="E3" t="inlineStr">
        <is>
          <t>parameter set (base, unchanged)</t>
        </is>
      </c>
    </row>
    <row r="4">
      <c r="A4" t="inlineStr">
        <is>
          <t>Negative electrode thickness</t>
        </is>
      </c>
      <c r="B4" t="n">
        <v>85.2</v>
      </c>
      <c r="C4" t="n">
        <v>96</v>
      </c>
      <c r="D4" t="inlineStr">
        <is>
          <t>um</t>
        </is>
      </c>
      <c r="E4" t="inlineStr">
        <is>
          <t>cell/params_v4b.json</t>
        </is>
      </c>
    </row>
    <row r="5">
      <c r="A5" t="inlineStr">
        <is>
          <t>Separator thickness</t>
        </is>
      </c>
      <c r="B5" t="n">
        <v>12</v>
      </c>
      <c r="C5" t="n">
        <v>9</v>
      </c>
      <c r="D5" t="inlineStr">
        <is>
          <t>um</t>
        </is>
      </c>
      <c r="E5" t="inlineStr">
        <is>
          <t>cell/params_v4b.json</t>
        </is>
      </c>
    </row>
    <row r="6">
      <c r="A6" t="inlineStr">
        <is>
          <t>Positive current collector thickness</t>
        </is>
      </c>
      <c r="B6" t="n">
        <v>16</v>
      </c>
      <c r="C6" t="n">
        <v>8</v>
      </c>
      <c r="D6" t="inlineStr">
        <is>
          <t>um</t>
        </is>
      </c>
      <c r="E6" t="inlineStr">
        <is>
          <t>cell/params_v4b.json</t>
        </is>
      </c>
    </row>
    <row r="7">
      <c r="A7" t="inlineStr">
        <is>
          <t>Negative current collector thickness</t>
        </is>
      </c>
      <c r="B7" t="n">
        <v>12</v>
      </c>
      <c r="C7" t="n">
        <v>6</v>
      </c>
      <c r="D7" t="inlineStr">
        <is>
          <t>um</t>
        </is>
      </c>
      <c r="E7" t="inlineStr">
        <is>
          <t>cell/params_v4b.json</t>
        </is>
      </c>
    </row>
    <row r="8">
      <c r="A8" t="inlineStr">
        <is>
          <t>Positive electrode porosity</t>
        </is>
      </c>
      <c r="B8" t="n">
        <v>0.335</v>
      </c>
      <c r="C8" t="n">
        <v>0.36</v>
      </c>
      <c r="D8" t="inlineStr">
        <is>
          <t>-</t>
        </is>
      </c>
      <c r="E8" t="inlineStr">
        <is>
          <t>cell/params_v4b.json</t>
        </is>
      </c>
    </row>
    <row r="9">
      <c r="A9" t="inlineStr">
        <is>
          <t>Negative electrode porosity</t>
        </is>
      </c>
      <c r="B9" t="n">
        <v>0.25</v>
      </c>
      <c r="C9" t="n">
        <v>0.32</v>
      </c>
      <c r="D9" t="inlineStr">
        <is>
          <t>-</t>
        </is>
      </c>
      <c r="E9" t="inlineStr">
        <is>
          <t>cell/params_v4b.json</t>
        </is>
      </c>
    </row>
    <row r="10">
      <c r="A10" t="inlineStr">
        <is>
          <t>Separator porosity</t>
        </is>
      </c>
      <c r="B10" t="n">
        <v>0.47</v>
      </c>
      <c r="C10" t="n">
        <v>0.5</v>
      </c>
      <c r="D10" t="inlineStr">
        <is>
          <t>-</t>
        </is>
      </c>
      <c r="E10" t="inlineStr">
        <is>
          <t>cell/params_v4b.json</t>
        </is>
      </c>
    </row>
    <row r="11">
      <c r="A11" t="inlineStr">
        <is>
          <t>Positive particle radius</t>
        </is>
      </c>
      <c r="B11" t="n">
        <v>5.22</v>
      </c>
      <c r="C11" t="n">
        <v>2</v>
      </c>
      <c r="D11" t="inlineStr">
        <is>
          <t>um</t>
        </is>
      </c>
      <c r="E11" t="inlineStr">
        <is>
          <t>cell/params_v4b.json</t>
        </is>
      </c>
    </row>
    <row r="12">
      <c r="A12" t="inlineStr">
        <is>
          <t>Negative particle radius</t>
        </is>
      </c>
      <c r="B12" t="n">
        <v>5.86</v>
      </c>
      <c r="C12" t="n">
        <v>1.5</v>
      </c>
      <c r="D12" t="inlineStr">
        <is>
          <t>um</t>
        </is>
      </c>
      <c r="E12" t="inlineStr">
        <is>
          <t>cell/params_v4b.json</t>
        </is>
      </c>
    </row>
    <row r="13">
      <c r="A13" t="inlineStr">
        <is>
          <t>Positive electrode density</t>
        </is>
      </c>
      <c r="B13" t="n">
        <v>3262</v>
      </c>
      <c r="C13" t="n">
        <v>3262</v>
      </c>
      <c r="D13" t="inlineStr">
        <is>
          <t>kg/m3</t>
        </is>
      </c>
      <c r="E13" t="inlineStr">
        <is>
          <t>parameter set</t>
        </is>
      </c>
    </row>
    <row r="14">
      <c r="A14" t="inlineStr">
        <is>
          <t>Negative electrode density</t>
        </is>
      </c>
      <c r="B14" t="n">
        <v>1657</v>
      </c>
      <c r="C14" t="n">
        <v>1657</v>
      </c>
      <c r="D14" t="inlineStr">
        <is>
          <t>kg/m3</t>
        </is>
      </c>
      <c r="E14" t="inlineStr">
        <is>
          <t>parameter set</t>
        </is>
      </c>
    </row>
    <row r="15">
      <c r="A15" t="inlineStr">
        <is>
          <t>Separator density</t>
        </is>
      </c>
      <c r="B15" t="n">
        <v>397</v>
      </c>
      <c r="C15" t="n">
        <v>397</v>
      </c>
      <c r="D15" t="inlineStr">
        <is>
          <t>kg/m3</t>
        </is>
      </c>
      <c r="E15" t="inlineStr">
        <is>
          <t>parameter set</t>
        </is>
      </c>
    </row>
    <row r="16">
      <c r="A16" t="inlineStr">
        <is>
          <t>Positive CC density (Al)</t>
        </is>
      </c>
      <c r="B16" t="n">
        <v>2700</v>
      </c>
      <c r="C16" t="n">
        <v>2700</v>
      </c>
      <c r="D16" t="inlineStr">
        <is>
          <t>kg/m3</t>
        </is>
      </c>
      <c r="E16" t="inlineStr">
        <is>
          <t>parameter set</t>
        </is>
      </c>
    </row>
    <row r="17">
      <c r="A17" t="inlineStr">
        <is>
          <t>Negative CC density (Cu)</t>
        </is>
      </c>
      <c r="B17" t="n">
        <v>8960</v>
      </c>
      <c r="C17" t="n">
        <v>8960</v>
      </c>
      <c r="D17" t="inlineStr">
        <is>
          <t>kg/m3</t>
        </is>
      </c>
      <c r="E17" t="inlineStr">
        <is>
          <t>parameter set</t>
        </is>
      </c>
    </row>
    <row r="18">
      <c r="A18" t="inlineStr">
        <is>
          <t>Electrolyte conductivity</t>
        </is>
      </c>
      <c r="B18" t="inlineStr">
        <is>
          <t>func(T)</t>
        </is>
      </c>
      <c r="C18" t="n">
        <v>1.8</v>
      </c>
      <c r="D18" t="inlineStr">
        <is>
          <t>S/m</t>
        </is>
      </c>
      <c r="E18" t="inlineStr">
        <is>
          <t>bridge literature estimate (annotated)</t>
        </is>
      </c>
    </row>
    <row r="19">
      <c r="A19" t="inlineStr">
        <is>
          <t>Electrolyte diffusivity</t>
        </is>
      </c>
      <c r="B19" t="inlineStr">
        <is>
          <t>func(T)</t>
        </is>
      </c>
      <c r="C19" t="n">
        <v>6e-10</v>
      </c>
      <c r="D19" t="inlineStr">
        <is>
          <t>m2/s</t>
        </is>
      </c>
      <c r="E19" t="inlineStr">
        <is>
          <t>bridge literature estimate (annotated)</t>
        </is>
      </c>
    </row>
    <row r="20">
      <c r="A20" t="inlineStr">
        <is>
          <t>Cation transference number</t>
        </is>
      </c>
      <c r="B20" t="n">
        <v>0.2594</v>
      </c>
      <c r="C20" t="n">
        <v>0.4</v>
      </c>
      <c r="D20" t="inlineStr">
        <is>
          <t>-</t>
        </is>
      </c>
      <c r="E20" t="inlineStr">
        <is>
          <t>cell/params_v4b.json</t>
        </is>
      </c>
    </row>
    <row r="21">
      <c r="A21" t="inlineStr">
        <is>
          <t>Total heat transfer coefficient</t>
        </is>
      </c>
      <c r="B21" t="n">
        <v>10</v>
      </c>
      <c r="C21" t="n">
        <v>60</v>
      </c>
      <c r="D21" t="inlineStr">
        <is>
          <t>W/m2.K</t>
        </is>
      </c>
      <c r="E21" t="inlineStr">
        <is>
          <t>cell/params_v4b.json</t>
        </is>
      </c>
    </row>
    <row r="22">
      <c r="A22" t="inlineStr">
        <is>
          <t>Cell cooling surface area</t>
        </is>
      </c>
      <c r="B22" t="n">
        <v>0.00531</v>
      </c>
      <c r="C22" t="n">
        <v>0.00531</v>
      </c>
      <c r="D22" t="inlineStr">
        <is>
          <t>m2</t>
        </is>
      </c>
      <c r="E22" t="inlineStr">
        <is>
          <t>parameter set</t>
        </is>
      </c>
    </row>
    <row r="23">
      <c r="A23" t="inlineStr">
        <is>
          <t>Cell volume (thermal sim)</t>
        </is>
      </c>
      <c r="B23" t="n">
        <v>2.42e-05</v>
      </c>
      <c r="C23" t="n">
        <v>2.514e-05</v>
      </c>
      <c r="D23" t="inlineStr">
        <is>
          <t>m3</t>
        </is>
      </c>
      <c r="E23" t="inlineStr">
        <is>
          <t>cell/params_v4b.json (conservative scale, see design_spec.md §6)</t>
        </is>
      </c>
    </row>
    <row r="24">
      <c r="A24" t="inlineStr">
        <is>
          <t>Electrode area</t>
        </is>
      </c>
      <c r="B24" t="n">
        <v>0.1027</v>
      </c>
      <c r="C24" t="n">
        <v>0.1027</v>
      </c>
      <c r="D24" t="inlineStr">
        <is>
          <t>m2</t>
        </is>
      </c>
      <c r="E24" t="inlineStr">
        <is>
          <t>cell/r4_v4b_energy.json:area_m2</t>
        </is>
      </c>
    </row>
    <row r="25">
      <c r="A25" t="inlineStr">
        <is>
          <t>Nominal capacity</t>
        </is>
      </c>
      <c r="B25" t="n">
        <v>5</v>
      </c>
      <c r="C25" t="n">
        <v>5</v>
      </c>
      <c r="D25" t="inlineStr">
        <is>
          <t>Ah</t>
        </is>
      </c>
      <c r="E25" t="inlineStr">
        <is>
          <t>parameter set</t>
        </is>
      </c>
    </row>
    <row r="26">
      <c r="A26" t="inlineStr">
        <is>
          <t>Upper voltage cut-off</t>
        </is>
      </c>
      <c r="B26" t="n">
        <v>4.2</v>
      </c>
      <c r="C26" t="n">
        <v>4.2</v>
      </c>
      <c r="D26" t="inlineStr">
        <is>
          <t>V</t>
        </is>
      </c>
      <c r="E26" t="inlineStr">
        <is>
          <t>parameter set</t>
        </is>
      </c>
    </row>
    <row r="27">
      <c r="A27" t="inlineStr">
        <is>
          <t>Lower voltage cut-off</t>
        </is>
      </c>
      <c r="B27" t="n">
        <v>2.5</v>
      </c>
      <c r="C27" t="n">
        <v>2.5</v>
      </c>
      <c r="D27" t="inlineStr">
        <is>
          <t>V</t>
        </is>
      </c>
      <c r="E27" t="inlineStr">
        <is>
          <t>parameter 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0" customWidth="1" min="3" max="3"/>
    <col width="80" customWidth="1" min="4" max="4"/>
  </cols>
  <sheetData>
    <row r="1">
      <c r="A1" s="1" t="inlineStr">
        <is>
          <t>Quantity</t>
        </is>
      </c>
      <c r="B1" s="1" t="inlineStr">
        <is>
          <t>Formula</t>
        </is>
      </c>
      <c r="C1" s="1" t="inlineStr">
        <is>
          <t>Value</t>
        </is>
      </c>
      <c r="D1" s="1" t="inlineStr">
        <is>
          <t>Source</t>
        </is>
      </c>
    </row>
    <row r="2">
      <c r="A2" t="inlineStr">
        <is>
          <t>1C discharge capacity</t>
        </is>
      </c>
      <c r="B2" t="inlineStr">
        <is>
          <t>simulation (SPMe, 1C)</t>
        </is>
      </c>
      <c r="C2" t="inlineStr">
        <is>
          <t>5.6997 Ah</t>
        </is>
      </c>
      <c r="D2" t="inlineStr">
        <is>
          <t>cell/r4_v4b_1c_spme.json:capacity_ah</t>
        </is>
      </c>
    </row>
    <row r="3">
      <c r="A3" t="inlineStr">
        <is>
          <t>1C discharge energy</t>
        </is>
      </c>
      <c r="B3" t="inlineStr">
        <is>
          <t>time integral V x I</t>
        </is>
      </c>
      <c r="C3" t="inlineStr">
        <is>
          <t>20.5534 Wh</t>
        </is>
      </c>
      <c r="D3" t="inlineStr">
        <is>
          <t>cell/r4_v4b_energy.json:energy_wh</t>
        </is>
      </c>
    </row>
    <row r="4">
      <c r="A4" t="inlineStr">
        <is>
          <t>Midpoint voltage</t>
        </is>
      </c>
      <c r="B4" t="inlineStr">
        <is>
          <t>mean of 1C voltage curve</t>
        </is>
      </c>
      <c r="C4" t="inlineStr">
        <is>
          <t>4.0863 V</t>
        </is>
      </c>
      <c r="D4" t="inlineStr">
        <is>
          <t>cell/r4_v4b_energy.json:midpoint_voltage_v</t>
        </is>
      </c>
    </row>
    <row r="5">
      <c r="A5" t="inlineStr">
        <is>
          <t>4C CC acceptance</t>
        </is>
      </c>
      <c r="B5" t="inlineStr">
        <is>
          <t>(t_end - t_vmin) x 20 A / 3600</t>
        </is>
      </c>
      <c r="C5" t="inlineStr">
        <is>
          <t>4.53 Ah (815 s)</t>
        </is>
      </c>
      <c r="D5" t="inlineStr">
        <is>
          <t>inferred from cell/r4_v4b_4c_dfn.json voltage curve (capacity_ah key unreliable for charge protocols)</t>
        </is>
      </c>
    </row>
    <row r="6">
      <c r="A6" t="inlineStr">
        <is>
          <t>4C max temperature</t>
        </is>
      </c>
      <c r="B6" t="inlineStr">
        <is>
          <t>DFN + lumped thermal, h=60</t>
        </is>
      </c>
      <c r="C6" t="inlineStr">
        <is>
          <t>326.46 K</t>
        </is>
      </c>
      <c r="D6" t="inlineStr">
        <is>
          <t>cell/r4_v4b_4c_dfn.json:T_max_K</t>
        </is>
      </c>
    </row>
    <row r="7">
      <c r="A7" t="inlineStr">
        <is>
          <t>4C anode potential min</t>
        </is>
      </c>
      <c r="B7" t="inlineStr">
        <is>
          <t>DFN, vs Li/Li+</t>
        </is>
      </c>
      <c r="C7" t="inlineStr">
        <is>
          <t>+0.0215 V -&gt; plated false</t>
        </is>
      </c>
      <c r="D7" t="inlineStr">
        <is>
          <t>cell/r4_v4b_4c_dfn.json:anode_potential_v (min)</t>
        </is>
      </c>
    </row>
    <row r="8">
      <c r="A8" t="inlineStr">
        <is>
          <t>Overcharge 4.7 V max temperature</t>
        </is>
      </c>
      <c r="B8" t="inlineStr">
        <is>
          <t>0.5C charge to upper+0.5 V</t>
        </is>
      </c>
      <c r="C8" t="inlineStr">
        <is>
          <t>299.43 K</t>
        </is>
      </c>
      <c r="D8" t="inlineStr">
        <is>
          <t>cell/r4_v4b_overcharge.json:T_max_K</t>
        </is>
      </c>
    </row>
    <row r="9">
      <c r="A9" t="inlineStr">
        <is>
          <t>Thermal runaway trigger</t>
        </is>
      </c>
      <c r="B9" t="inlineStr">
        <is>
          <t>run-tr, mcp=31.72 J/K, hA=0.3186</t>
        </is>
      </c>
      <c r="C9" t="inlineStr">
        <is>
          <t>false</t>
        </is>
      </c>
      <c r="D9" t="inlineStr">
        <is>
          <t>cell/r4_v4b_tr.json:triggered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10" customWidth="1" min="4" max="4"/>
    <col width="62" customWidth="1" min="5" max="5"/>
  </cols>
  <sheetData>
    <row r="1">
      <c r="A1" t="inlineStr">
        <is>
          <t>Energy density chain (contract formula: ED = E_wh / mass_kg; mass = sum layer thickness x (1-porosity) x density x area; electrolyte excluded)</t>
        </is>
      </c>
    </row>
    <row r="2">
      <c r="A2" s="1" t="inlineStr">
        <is>
          <t>Layer</t>
        </is>
      </c>
      <c r="B2" s="1" t="inlineStr">
        <is>
          <t>layer_kg_m2 (kg/m2)</t>
        </is>
      </c>
      <c r="C2" s="1" t="inlineStr">
        <is>
          <t>x area 0.1027 m2 -&gt; kg</t>
        </is>
      </c>
      <c r="D2" s="1" t="inlineStr">
        <is>
          <t>g/cell</t>
        </is>
      </c>
      <c r="E2" s="1" t="inlineStr">
        <is>
          <t>Source</t>
        </is>
      </c>
    </row>
    <row r="3">
      <c r="A3" t="inlineStr">
        <is>
          <t>positive_electrode</t>
        </is>
      </c>
      <c r="B3" t="n">
        <v>0.157829</v>
      </c>
      <c r="C3" t="n">
        <v>0.016209</v>
      </c>
      <c r="D3" t="n">
        <v>16.209</v>
      </c>
      <c r="E3" t="inlineStr">
        <is>
          <t>cell/r4_v4b_energy.json:layer_kg_m2</t>
        </is>
      </c>
    </row>
    <row r="4">
      <c r="A4" t="inlineStr">
        <is>
          <t>negative_electrode</t>
        </is>
      </c>
      <c r="B4" t="n">
        <v>0.108169</v>
      </c>
      <c r="C4" t="n">
        <v>0.011109</v>
      </c>
      <c r="D4" t="n">
        <v>11.109</v>
      </c>
      <c r="E4" t="inlineStr">
        <is>
          <t>cell/r4_v4b_energy.json:layer_kg_m2</t>
        </is>
      </c>
    </row>
    <row r="5">
      <c r="A5" t="inlineStr">
        <is>
          <t>positive_cc</t>
        </is>
      </c>
      <c r="B5" t="n">
        <v>0.0216</v>
      </c>
      <c r="C5" t="n">
        <v>0.002218</v>
      </c>
      <c r="D5" t="n">
        <v>2.218</v>
      </c>
      <c r="E5" t="inlineStr">
        <is>
          <t>cell/r4_v4b_energy.json:layer_kg_m2</t>
        </is>
      </c>
    </row>
    <row r="6">
      <c r="A6" t="inlineStr">
        <is>
          <t>negative_cc</t>
        </is>
      </c>
      <c r="B6" t="n">
        <v>0.05376</v>
      </c>
      <c r="C6" t="n">
        <v>0.005521</v>
      </c>
      <c r="D6" t="n">
        <v>5.521</v>
      </c>
      <c r="E6" t="inlineStr">
        <is>
          <t>cell/r4_v4b_energy.json:layer_kg_m2</t>
        </is>
      </c>
    </row>
    <row r="7">
      <c r="A7" t="inlineStr">
        <is>
          <t>separator</t>
        </is>
      </c>
      <c r="B7" t="n">
        <v>0.001787</v>
      </c>
      <c r="C7" t="n">
        <v>0.000184</v>
      </c>
      <c r="D7" t="n">
        <v>0.183</v>
      </c>
      <c r="E7" t="inlineStr">
        <is>
          <t>cell/r4_v4b_energy.json:layer_kg_m2</t>
        </is>
      </c>
    </row>
    <row r="8">
      <c r="A8" t="inlineStr">
        <is>
          <t>TOTAL</t>
        </is>
      </c>
      <c r="B8" t="inlineStr"/>
      <c r="C8" t="inlineStr"/>
      <c r="D8" t="n">
        <v>35.241</v>
      </c>
      <c r="E8">
        <f> cell/r4_v4b_energy.json:mass_kg 0.0352409 kg</f>
        <v/>
      </c>
    </row>
    <row r="10">
      <c r="A10" s="1" t="inlineStr">
        <is>
          <t>Quantity</t>
        </is>
      </c>
      <c r="B10" s="1" t="inlineStr">
        <is>
          <t>Formula</t>
        </is>
      </c>
      <c r="C10" s="1" t="inlineStr">
        <is>
          <t>Value</t>
        </is>
      </c>
      <c r="D10" s="1" t="inlineStr">
        <is>
          <t>Unit</t>
        </is>
      </c>
      <c r="E10" s="1" t="inlineStr">
        <is>
          <t>Source</t>
        </is>
      </c>
    </row>
    <row r="11">
      <c r="A11" t="inlineStr">
        <is>
          <t>Energy density</t>
        </is>
      </c>
      <c r="B11" t="inlineStr">
        <is>
          <t>20.5534 Wh / 0.0352409 kg</t>
        </is>
      </c>
      <c r="C11" t="n">
        <v>583.227</v>
      </c>
      <c r="D11" t="inlineStr">
        <is>
          <t>Wh/kg</t>
        </is>
      </c>
      <c r="E11" t="inlineStr">
        <is>
          <t>cell/r4_v4b_energy.json:energy_density_wh_kg</t>
        </is>
      </c>
    </row>
    <row r="12">
      <c r="A12" t="inlineStr">
        <is>
          <t>Volumetric energy density</t>
        </is>
      </c>
      <c r="B12" t="inlineStr">
        <is>
          <t>E / volume</t>
        </is>
      </c>
      <c r="C12" t="n">
        <v>1028.422</v>
      </c>
      <c r="D12" t="inlineStr">
        <is>
          <t>Wh/L</t>
        </is>
      </c>
      <c r="E12" t="inlineStr">
        <is>
          <t>cell/r4_v4b_energy.json:energy_density_wh_l</t>
        </is>
      </c>
    </row>
    <row r="13">
      <c r="A13" t="inlineStr">
        <is>
          <t>Energy density incl. electrolyte estimate</t>
        </is>
      </c>
      <c r="B13" t="inlineStr">
        <is>
          <t>20.5534 Wh / 0.042935 kg</t>
        </is>
      </c>
      <c r="C13" t="n">
        <v>478.7</v>
      </c>
      <c r="D13" t="inlineStr">
        <is>
          <t>Wh/kg</t>
        </is>
      </c>
      <c r="E13" t="inlineStr">
        <is>
          <t>inferred: +7.694 g electrolyte (1.2 g/cm3 literature estimate)</t>
        </is>
      </c>
    </row>
    <row r="14">
      <c r="A14" t="inlineStr">
        <is>
          <t>Criterion check</t>
        </is>
      </c>
      <c r="B14" t="inlineStr">
        <is>
          <t>583.2 &gt;= 392.61</t>
        </is>
      </c>
      <c r="C14" t="inlineStr">
        <is>
          <t>PASS</t>
        </is>
      </c>
      <c r="D14" t="inlineStr">
        <is>
          <t>-</t>
        </is>
      </c>
      <c r="E14" t="inlineStr">
        <is>
          <t>entry-0 stage2 threshold; log-evaluate round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26" customWidth="1" min="3" max="3"/>
    <col width="70" customWidth="1" min="4" max="4"/>
  </cols>
  <sheetData>
    <row r="1">
      <c r="A1" t="inlineStr">
        <is>
          <t>N/P ratio and mass breakdown</t>
        </is>
      </c>
    </row>
    <row r="2">
      <c r="A2" s="1" t="inlineStr">
        <is>
          <t>Quantity</t>
        </is>
      </c>
      <c r="B2" s="1" t="inlineStr">
        <is>
          <t>Formula</t>
        </is>
      </c>
      <c r="C2" s="1" t="inlineStr">
        <is>
          <t>Value</t>
        </is>
      </c>
      <c r="D2" s="1" t="inlineStr">
        <is>
          <t>Source</t>
        </is>
      </c>
    </row>
    <row r="3">
      <c r="A3" t="inlineStr">
        <is>
          <t>Positive areal mass</t>
        </is>
      </c>
      <c r="B3" t="inlineStr">
        <is>
          <t>75.6e-6 x (1-0.36) x 3262</t>
        </is>
      </c>
      <c r="C3" t="inlineStr">
        <is>
          <t>157.83 g/m2</t>
        </is>
      </c>
      <c r="D3" t="inlineStr">
        <is>
          <t>layer_kg_m2 x 1000</t>
        </is>
      </c>
    </row>
    <row r="4">
      <c r="A4" t="inlineStr">
        <is>
          <t>Negative areal mass</t>
        </is>
      </c>
      <c r="B4" t="inlineStr">
        <is>
          <t>96e-6 x (1-0.32) x 1657</t>
        </is>
      </c>
      <c r="C4" t="inlineStr">
        <is>
          <t>108.17 g/m2</t>
        </is>
      </c>
      <c r="D4" t="inlineStr">
        <is>
          <t>layer_kg_m2 x 1000</t>
        </is>
      </c>
    </row>
    <row r="5">
      <c r="A5" t="inlineStr">
        <is>
          <t>Positive areal capacity</t>
        </is>
      </c>
      <c r="B5" t="inlineStr">
        <is>
          <t>157.83 g/m2 x 190 mAh/g</t>
        </is>
      </c>
      <c r="C5" t="inlineStr">
        <is>
          <t>29.99 Ah/m2</t>
        </is>
      </c>
      <c r="D5" t="inlineStr">
        <is>
          <t>C_pos 190 mAh/g: NMC811 practical at 4.2 V, literature range 180-200, midpoint estimate</t>
        </is>
      </c>
    </row>
    <row r="6">
      <c r="A6" t="inlineStr">
        <is>
          <t>Negative areal capacity</t>
        </is>
      </c>
      <c r="B6" t="inlineStr">
        <is>
          <t>108.17 g/m2 x 372 mAh/g</t>
        </is>
      </c>
      <c r="C6" t="inlineStr">
        <is>
          <t>40.24 Ah/m2</t>
        </is>
      </c>
      <c r="D6" t="inlineStr">
        <is>
          <t>C_neg 372 mAh/g: graphite theoretical (literature)</t>
        </is>
      </c>
    </row>
    <row r="7">
      <c r="A7" t="inlineStr">
        <is>
          <t>N/P ratio</t>
        </is>
      </c>
      <c r="B7" t="inlineStr">
        <is>
          <t>40.24 / 29.99</t>
        </is>
      </c>
      <c r="C7" t="inlineStr">
        <is>
          <t>1.34 (quoted ~1.35; 1.31-1.38 across C_pos range)</t>
        </is>
      </c>
      <c r="D7" t="inlineStr">
        <is>
          <t>consistent with propose R4 note 'N/P 1.35'</t>
        </is>
      </c>
    </row>
    <row r="8">
      <c r="A8" t="inlineStr">
        <is>
          <t>Cell mass (contract caliber)</t>
        </is>
      </c>
      <c r="B8" t="inlineStr">
        <is>
          <t>sum layers</t>
        </is>
      </c>
      <c r="C8" t="inlineStr">
        <is>
          <t>35.24 g</t>
        </is>
      </c>
      <c r="D8" t="inlineStr">
        <is>
          <t>cell/r4_v4b_energy.json:mass_kg</t>
        </is>
      </c>
    </row>
    <row r="9">
      <c r="A9" t="inlineStr">
        <is>
          <t>Cell mass incl. electrolyte</t>
        </is>
      </c>
      <c r="B9" t="inlineStr">
        <is>
          <t>+ 7.69 g</t>
        </is>
      </c>
      <c r="C9" t="inlineStr">
        <is>
          <t>42.93 g</t>
        </is>
      </c>
      <c r="D9" t="inlineStr">
        <is>
          <t>inferred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2" customWidth="1" min="3" max="3"/>
    <col width="38" customWidth="1" min="4" max="4"/>
    <col width="48" customWidth="1" min="5" max="5"/>
  </cols>
  <sheetData>
    <row r="1">
      <c r="A1" t="inlineStr">
        <is>
          <t>Process design parameters (consistent with design_spec.md §3)</t>
        </is>
      </c>
    </row>
    <row r="2">
      <c r="A2" s="1" t="inlineStr">
        <is>
          <t>Parameter</t>
        </is>
      </c>
      <c r="B2" s="1" t="inlineStr">
        <is>
          <t>Formula</t>
        </is>
      </c>
      <c r="C2" s="1" t="inlineStr">
        <is>
          <t>Value</t>
        </is>
      </c>
      <c r="D2" s="1" t="inlineStr">
        <is>
          <t>Unit note</t>
        </is>
      </c>
      <c r="E2" s="1" t="inlineStr">
        <is>
          <t>Source</t>
        </is>
      </c>
    </row>
    <row r="3">
      <c r="A3" t="inlineStr">
        <is>
          <t>Positive areal density</t>
        </is>
      </c>
      <c r="B3" t="inlineStr">
        <is>
          <t>thickness x (1-porosity) x density</t>
        </is>
      </c>
      <c r="C3" t="inlineStr">
        <is>
          <t>157.83</t>
        </is>
      </c>
      <c r="D3" t="inlineStr">
        <is>
          <t>g/m2</t>
        </is>
      </c>
      <c r="E3" t="inlineStr">
        <is>
          <t>layer_kg_m2 x 1000</t>
        </is>
      </c>
    </row>
    <row r="4">
      <c r="A4" t="inlineStr">
        <is>
          <t>Negative areal density</t>
        </is>
      </c>
      <c r="B4" t="inlineStr">
        <is>
          <t>thickness x (1-porosity) x density</t>
        </is>
      </c>
      <c r="C4" t="inlineStr">
        <is>
          <t>108.17</t>
        </is>
      </c>
      <c r="D4" t="inlineStr">
        <is>
          <t>g/m2</t>
        </is>
      </c>
      <c r="E4" t="inlineStr">
        <is>
          <t>layer_kg_m2 x 1000</t>
        </is>
      </c>
    </row>
    <row r="5">
      <c r="A5" t="inlineStr">
        <is>
          <t>Positive compaction density</t>
        </is>
      </c>
      <c r="B5" t="inlineStr">
        <is>
          <t>3262 x (1-0.36) / 1000</t>
        </is>
      </c>
      <c r="C5" t="inlineStr">
        <is>
          <t>2.09</t>
        </is>
      </c>
      <c r="D5" t="inlineStr">
        <is>
          <t>g/cm3 (divide by 1000)</t>
        </is>
      </c>
      <c r="E5" t="inlineStr">
        <is>
          <t>parameter-set density</t>
        </is>
      </c>
    </row>
    <row r="6">
      <c r="A6" t="inlineStr">
        <is>
          <t>Negative compaction density</t>
        </is>
      </c>
      <c r="B6" t="inlineStr">
        <is>
          <t>1657 x (1-0.32) / 1000</t>
        </is>
      </c>
      <c r="C6" t="inlineStr">
        <is>
          <t>1.13</t>
        </is>
      </c>
      <c r="D6" t="inlineStr">
        <is>
          <t>g/cm3 (divide by 1000)</t>
        </is>
      </c>
      <c r="E6" t="inlineStr">
        <is>
          <t>parameter-set density</t>
        </is>
      </c>
    </row>
    <row r="7">
      <c r="A7" t="inlineStr">
        <is>
          <t>Electrolyte fill amount</t>
        </is>
      </c>
      <c r="B7" t="inlineStr">
        <is>
          <t>pore volume x 1.2 g/cm3 x fill 1.0</t>
        </is>
      </c>
      <c r="C7" t="inlineStr">
        <is>
          <t>7.69</t>
        </is>
      </c>
      <c r="D7" t="inlineStr">
        <is>
          <t>g/cell (pore volume 6.41 cm3)</t>
        </is>
      </c>
      <c r="E7" t="inlineStr">
        <is>
          <t>literature density annotated estimate</t>
        </is>
      </c>
    </row>
    <row r="8">
      <c r="A8" t="inlineStr">
        <is>
          <t>Formation recommendation</t>
        </is>
      </c>
      <c r="B8" t="inlineStr">
        <is>
          <t>0.1C CC to 4.2 V, 25 C, 2 cycles</t>
        </is>
      </c>
      <c r="C8" t="inlineStr">
        <is>
          <t>-</t>
        </is>
      </c>
      <c r="D8" t="inlineStr">
        <is>
          <t>design recommended value; production-line value requires tuning</t>
        </is>
      </c>
      <c r="E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2026-08-25T18:24:44Z</dcterms:created>
  <dcterms:modified xmlns:dcterms="http://purl.org/dc/terms/" xmlns:xsi="http://www.w3.org/2001/XMLSchema-instance" xsi:type="dcterms:W3CDTF">2026-08-25T18:24:44Z</dcterms:modified>
</cp:coreProperties>
</file>