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11" customWidth="1" min="4" max="4"/>
    <col width="9" customWidth="1" min="5" max="5"/>
    <col width="70" customWidth="1" min="6" max="6"/>
  </cols>
  <sheetData>
    <row r="1">
      <c r="A1" s="1" t="inlineStr">
        <is>
          <t>Component</t>
        </is>
      </c>
      <c r="B1" s="1" t="inlineStr">
        <is>
          <t>Group</t>
        </is>
      </c>
      <c r="C1" s="1" t="inlineStr">
        <is>
          <t>g/cell</t>
        </is>
      </c>
      <c r="D1" s="1" t="inlineStr">
        <is>
          <t>kg/kWh</t>
        </is>
      </c>
      <c r="E1" s="1" t="inlineStr">
        <is>
          <t>Mass %</t>
        </is>
      </c>
      <c r="F1" s="1" t="inlineStr">
        <is>
          <t>Basis / note</t>
        </is>
      </c>
    </row>
    <row r="2">
      <c r="A2" s="2" t="inlineStr">
        <is>
          <t>NMC811 active material</t>
        </is>
      </c>
      <c r="B2" s="2" t="inlineStr">
        <is>
          <t>Cathode</t>
        </is>
      </c>
      <c r="C2" s="2" t="n">
        <v>18.0163</v>
      </c>
      <c r="D2" s="2" t="n">
        <v>0.71</v>
      </c>
      <c r="E2" s="2" t="n">
        <v>35.67</v>
      </c>
      <c r="F2" s="2" t="inlineStr">
        <is>
          <t>tw 96/2/2 cathode composition split = LITERATURE-STANDARD ESTIMATE (parameter set gives lumped density 3262 kg/m3 only)</t>
        </is>
      </c>
    </row>
    <row r="3">
      <c r="A3" s="2" t="inlineStr">
        <is>
          <t>Carbon black conductive additive</t>
        </is>
      </c>
      <c r="B3" s="2" t="inlineStr">
        <is>
          <t>Cathode</t>
        </is>
      </c>
      <c r="C3" s="2" t="n">
        <v>0.3753</v>
      </c>
      <c r="D3" s="2" t="n">
        <v>0.0148</v>
      </c>
      <c r="E3" s="2" t="n">
        <v>0.74</v>
      </c>
      <c r="F3" s="2" t="inlineStr">
        <is>
          <t>est. 2 wt%</t>
        </is>
      </c>
    </row>
    <row r="4">
      <c r="A4" s="2" t="inlineStr">
        <is>
          <t>PVDF binder</t>
        </is>
      </c>
      <c r="B4" s="2" t="inlineStr">
        <is>
          <t>Cathode</t>
        </is>
      </c>
      <c r="C4" s="2" t="n">
        <v>0.3753</v>
      </c>
      <c r="D4" s="2" t="n">
        <v>0.0148</v>
      </c>
      <c r="E4" s="2" t="n">
        <v>0.74</v>
      </c>
      <c r="F4" s="2" t="inlineStr">
        <is>
          <t>est. 2 wt%</t>
        </is>
      </c>
    </row>
    <row r="5">
      <c r="A5" s="2" t="inlineStr">
        <is>
          <t>Graphite active material</t>
        </is>
      </c>
      <c r="B5" s="2" t="inlineStr">
        <is>
          <t>Anode</t>
        </is>
      </c>
      <c r="C5" s="2" t="n">
        <v>10.9476</v>
      </c>
      <c r="D5" s="2" t="n">
        <v>0.4314</v>
      </c>
      <c r="E5" s="2" t="n">
        <v>21.67</v>
      </c>
      <c r="F5" s="2" t="inlineStr">
        <is>
          <t>tw 96/2/2 anode composition split = LITERATURE-STANDARD ESTIMATE (lumped 1657 kg/m3)</t>
        </is>
      </c>
    </row>
    <row r="6">
      <c r="A6" s="2" t="inlineStr">
        <is>
          <t>Conductive additive</t>
        </is>
      </c>
      <c r="B6" s="2" t="inlineStr">
        <is>
          <t>Anode</t>
        </is>
      </c>
      <c r="C6" s="2" t="n">
        <v>0.2281</v>
      </c>
      <c r="D6" s="2" t="n">
        <v>0.008999999999999999</v>
      </c>
      <c r="E6" s="2" t="n">
        <v>0.45</v>
      </c>
      <c r="F6" s="2" t="inlineStr">
        <is>
          <t>est. 2 wt%</t>
        </is>
      </c>
    </row>
    <row r="7">
      <c r="A7" s="2" t="inlineStr">
        <is>
          <t>Binder (CMC/SBR class)</t>
        </is>
      </c>
      <c r="B7" s="2" t="inlineStr">
        <is>
          <t>Anode</t>
        </is>
      </c>
      <c r="C7" s="2" t="n">
        <v>0.2281</v>
      </c>
      <c r="D7" s="2" t="n">
        <v>0.008999999999999999</v>
      </c>
      <c r="E7" s="2" t="n">
        <v>0.45</v>
      </c>
      <c r="F7" s="2" t="inlineStr">
        <is>
          <t>est. 2 wt%</t>
        </is>
      </c>
    </row>
    <row r="8">
      <c r="A8" s="2" t="inlineStr">
        <is>
          <t>Al current collector (8 um)</t>
        </is>
      </c>
      <c r="B8" s="2" t="inlineStr">
        <is>
          <t>Current collectors</t>
        </is>
      </c>
      <c r="C8" s="2" t="n">
        <v>2.2183</v>
      </c>
      <c r="D8" s="2" t="n">
        <v>0.08740000000000001</v>
      </c>
      <c r="E8" s="2" t="n">
        <v>4.39</v>
      </c>
      <c r="F8" s="2" t="inlineStr">
        <is>
          <t>2700 kg/m3 std</t>
        </is>
      </c>
    </row>
    <row r="9">
      <c r="A9" s="2" t="inlineStr">
        <is>
          <t>Cu current collector (6 um)</t>
        </is>
      </c>
      <c r="B9" s="2" t="inlineStr">
        <is>
          <t>Current collectors</t>
        </is>
      </c>
      <c r="C9" s="2" t="n">
        <v>5.5212</v>
      </c>
      <c r="D9" s="2" t="n">
        <v>0.2176</v>
      </c>
      <c r="E9" s="2" t="n">
        <v>10.93</v>
      </c>
      <c r="F9" s="2" t="inlineStr">
        <is>
          <t>8960 kg/m3 std</t>
        </is>
      </c>
    </row>
    <row r="10">
      <c r="A10" s="2" t="inlineStr">
        <is>
          <t>Separator (PP/PE class, 8 um dry)</t>
        </is>
      </c>
      <c r="B10" s="2" t="inlineStr">
        <is>
          <t>Separator</t>
        </is>
      </c>
      <c r="C10" s="2" t="n">
        <v>0.1729</v>
      </c>
      <c r="D10" s="2" t="n">
        <v>0.0068</v>
      </c>
      <c r="E10" s="2" t="n">
        <v>0.34</v>
      </c>
      <c r="F10" s="2" t="inlineStr">
        <is>
          <t>397 kg/m3 from Chen2020 set</t>
        </is>
      </c>
    </row>
    <row r="11">
      <c r="A11" s="2" t="inlineStr">
        <is>
          <t>Electrolyte fill</t>
        </is>
      </c>
      <c r="B11" s="2" t="inlineStr">
        <is>
          <t>Electrolyte</t>
        </is>
      </c>
      <c r="C11" s="2" t="n">
        <v>12.4286</v>
      </c>
      <c r="D11" s="2" t="n">
        <v>0.4898</v>
      </c>
      <c r="E11" s="2" t="n">
        <v>24.61</v>
      </c>
      <c r="F11" s="2" t="inlineStr">
        <is>
          <t>pore volume 10.36 cm3 x 1.2 g/cm3 = LITERATURE ESTIMATE (parameter set lacks electrolyte density - contract caliber excludes it)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CONTRACT-CALIBER TOTAL (stack, excl electrolyte)</t>
        </is>
      </c>
      <c r="B13" s="2" t="inlineStr"/>
      <c r="C13" s="2" t="n">
        <v>38083</v>
      </c>
      <c r="D13" s="2" t="n">
        <v>1.5008</v>
      </c>
      <c r="E13" s="2" t="n">
        <v>100</v>
      </c>
      <c r="F13" s="2">
        <f> 666.3 Wh/kg evaluated value</f>
        <v/>
      </c>
    </row>
    <row r="14">
      <c r="A14" s="2" t="inlineStr">
        <is>
          <t>BOM-CALIBER TOTAL (incl electrolyte fill)</t>
        </is>
      </c>
      <c r="B14" s="2" t="inlineStr"/>
      <c r="C14" s="2" t="n">
        <v>50.512</v>
      </c>
      <c r="D14" s="2" t="n">
        <v>0.002</v>
      </c>
      <c r="E14" s="2" t="n">
        <v>100</v>
      </c>
      <c r="F14" s="2" t="inlineStr">
        <is>
          <t>~502 Wh/kg packaging reality incl. electrolyte only (still no can/tabs)</t>
        </is>
      </c>
    </row>
    <row r="15">
      <c r="A15" s="2" t="n"/>
      <c r="B15" s="2" t="n"/>
      <c r="C15" s="2" t="n"/>
      <c r="D15" s="2" t="n"/>
      <c r="E15" s="2" t="n"/>
      <c r="F15" s="2" t="n"/>
    </row>
    <row r="16">
      <c r="A16" s="2" t="inlineStr">
        <is>
          <t>Electrolyte transport spec (parameter bridge)</t>
        </is>
      </c>
      <c r="B16" s="2" t="inlineStr"/>
      <c r="C16" s="2" t="inlineStr"/>
      <c r="D16" s="2" t="inlineStr"/>
      <c r="E16" s="2" t="inlineStr"/>
      <c r="F16" s="2" t="inlineStr">
        <is>
          <t>sigma 1.5 S/m (est), t+ 0.6 (est), D 5.0e-10 m2/s (est); NOT DFT/MD-endorsed</t>
        </is>
      </c>
    </row>
    <row r="17">
      <c r="A17" s="2" t="inlineStr">
        <is>
          <t>Cell format</t>
        </is>
      </c>
      <c r="B17" s="2" t="inlineStr"/>
      <c r="C17" s="2" t="inlineStr"/>
      <c r="D17" s="2" t="inlineStr"/>
      <c r="E17" s="2" t="inlineStr"/>
      <c r="F17" s="2" t="inlineStr">
        <is>
          <t>assembled stack 242.12 um x 0.1027 m2; can/tabs not modeled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2026-08-26T14:59:54Z</dcterms:created>
  <dcterms:modified xmlns:dcterms="http://purl.org/dc/terms/" xmlns:xsi="http://www.w3.org/2001/XMLSchema-instance" xsi:type="dcterms:W3CDTF">2026-08-26T14:59:54Z</dcterms:modified>
</cp:coreProperties>
</file>